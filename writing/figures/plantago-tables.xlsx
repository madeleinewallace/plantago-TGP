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madeleinewallace/Desktop/01-research/plantago-TGP/writing/figures/"/>
    </mc:Choice>
  </mc:AlternateContent>
  <xr:revisionPtr revIDLastSave="0" documentId="13_ncr:1_{56EFF2F9-BD43-E748-A65C-D1BEFFAF45AC}" xr6:coauthVersionLast="47" xr6:coauthVersionMax="47" xr10:uidLastSave="{00000000-0000-0000-0000-000000000000}"/>
  <bookViews>
    <workbookView xWindow="0" yWindow="500" windowWidth="38400" windowHeight="19660" activeTab="4" xr2:uid="{473D842E-314B-8144-B51C-7F7FF6CAD569}"/>
  </bookViews>
  <sheets>
    <sheet name="table 2" sheetId="1" r:id="rId1"/>
    <sheet name="table 3" sheetId="8" r:id="rId2"/>
    <sheet name="table 4" sheetId="3" r:id="rId3"/>
    <sheet name="trait-treatment summaries" sheetId="4" r:id="rId4"/>
    <sheet name="trait-vpd-treatment summaries" sheetId="7" r:id="rId5"/>
    <sheet name="population summaries" sheetId="5" r:id="rId6"/>
    <sheet name="Sheet1"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4" l="1"/>
  <c r="E37" i="4"/>
  <c r="E36" i="4"/>
  <c r="E35" i="4"/>
</calcChain>
</file>

<file path=xl/sharedStrings.xml><?xml version="1.0" encoding="utf-8"?>
<sst xmlns="http://schemas.openxmlformats.org/spreadsheetml/2006/main" count="981" uniqueCount="231">
  <si>
    <t>trait</t>
  </si>
  <si>
    <t>root biomass</t>
  </si>
  <si>
    <t>shoot biomass</t>
  </si>
  <si>
    <t>total biomass</t>
  </si>
  <si>
    <t>max height</t>
  </si>
  <si>
    <t>RGR</t>
  </si>
  <si>
    <t>SLA</t>
  </si>
  <si>
    <t>LDMC</t>
  </si>
  <si>
    <t>seed mass</t>
  </si>
  <si>
    <t>df</t>
  </si>
  <si>
    <t>mortality</t>
  </si>
  <si>
    <t>seed number</t>
  </si>
  <si>
    <t>number of seedheads</t>
  </si>
  <si>
    <t>days to flower</t>
  </si>
  <si>
    <t>mortality rate</t>
  </si>
  <si>
    <t>flowering rate</t>
  </si>
  <si>
    <t>OT</t>
  </si>
  <si>
    <t>PT</t>
  </si>
  <si>
    <t>OT x PT</t>
  </si>
  <si>
    <r>
      <t>R</t>
    </r>
    <r>
      <rPr>
        <vertAlign val="superscript"/>
        <sz val="10"/>
        <color rgb="FF000000"/>
        <rFont val="Helvetica"/>
        <family val="2"/>
      </rPr>
      <t>2</t>
    </r>
    <r>
      <rPr>
        <sz val="10"/>
        <color rgb="FF000000"/>
        <rFont val="Helvetica"/>
        <family val="2"/>
      </rPr>
      <t>m</t>
    </r>
  </si>
  <si>
    <r>
      <t>R</t>
    </r>
    <r>
      <rPr>
        <vertAlign val="superscript"/>
        <sz val="10"/>
        <color rgb="FF000000"/>
        <rFont val="Helvetica"/>
        <family val="2"/>
      </rPr>
      <t>2</t>
    </r>
    <r>
      <rPr>
        <sz val="10"/>
        <color rgb="FF000000"/>
        <rFont val="Helvetica"/>
        <family val="2"/>
      </rPr>
      <t>c</t>
    </r>
  </si>
  <si>
    <t>R:S ratio</t>
  </si>
  <si>
    <t>SAP (mm)</t>
  </si>
  <si>
    <t>SAT (C)</t>
  </si>
  <si>
    <t>offspring treatment</t>
  </si>
  <si>
    <t>parental treatment</t>
  </si>
  <si>
    <t>mean</t>
  </si>
  <si>
    <t>SE</t>
  </si>
  <si>
    <t>CC</t>
  </si>
  <si>
    <t>CD</t>
  </si>
  <si>
    <t>DC</t>
  </si>
  <si>
    <t>DD</t>
  </si>
  <si>
    <t xml:space="preserve">	109.670</t>
  </si>
  <si>
    <t>TGP</t>
  </si>
  <si>
    <t>NA</t>
  </si>
  <si>
    <t>maximum vegetative height</t>
  </si>
  <si>
    <t>flowering status</t>
  </si>
  <si>
    <t>mortality status</t>
  </si>
  <si>
    <t>F = 2.6995</t>
  </si>
  <si>
    <t>F = 0.9111</t>
  </si>
  <si>
    <t>F = 44.1209***</t>
  </si>
  <si>
    <t>F = 1.2064</t>
  </si>
  <si>
    <t>F = 0.5113</t>
  </si>
  <si>
    <t>F =  178.3746***</t>
  </si>
  <si>
    <t>F = 94.5629***</t>
  </si>
  <si>
    <t>F = 1.0857</t>
  </si>
  <si>
    <t>F = 36.5018***</t>
  </si>
  <si>
    <t>F =  2.1155</t>
  </si>
  <si>
    <t>F = 0.6739</t>
  </si>
  <si>
    <t>F =  2.1731</t>
  </si>
  <si>
    <t>F = 0.0069</t>
  </si>
  <si>
    <t>F =  1.1009</t>
  </si>
  <si>
    <t>F = 12.1817***</t>
  </si>
  <si>
    <t>F = 0.0119</t>
  </si>
  <si>
    <t>F = 0.1523</t>
  </si>
  <si>
    <t>F = 2.0644</t>
  </si>
  <si>
    <t>F = 0.5044</t>
  </si>
  <si>
    <t>F = 0.1812</t>
  </si>
  <si>
    <t>F = 8.3839**</t>
  </si>
  <si>
    <t>F = 1.2024</t>
  </si>
  <si>
    <t>F = 0.5974</t>
  </si>
  <si>
    <t>X2 = 2.5306</t>
  </si>
  <si>
    <t>X2 = 0.3944</t>
  </si>
  <si>
    <t>days to flowering</t>
  </si>
  <si>
    <t xml:space="preserve">mortality </t>
  </si>
  <si>
    <t>X2 =  1.8167</t>
  </si>
  <si>
    <t>X2 = 0.8656</t>
  </si>
  <si>
    <t>X2 = 0.8667</t>
  </si>
  <si>
    <t>X2 = 5.0412*</t>
  </si>
  <si>
    <t>X2 = 1.8286</t>
  </si>
  <si>
    <t>X2 = 7.1231**</t>
  </si>
  <si>
    <t>X2 = 1.7384</t>
  </si>
  <si>
    <t>X2 = 6.7250**</t>
  </si>
  <si>
    <t>X2 = 7.8555**</t>
  </si>
  <si>
    <t>X2 = 11.3193***</t>
  </si>
  <si>
    <t>X2 = 7.8754**</t>
  </si>
  <si>
    <t>X2 = 0.0077</t>
  </si>
  <si>
    <t>X2 = 0.204</t>
  </si>
  <si>
    <t>X2 = 0.8181</t>
  </si>
  <si>
    <t>X2 = 4.3122*</t>
  </si>
  <si>
    <t>X2 = 0.6727</t>
  </si>
  <si>
    <t>X2 =  0.4926</t>
  </si>
  <si>
    <t>X2 = 23.038***</t>
  </si>
  <si>
    <t>X2 = 10.265**</t>
  </si>
  <si>
    <t>number of flowering structures</t>
  </si>
  <si>
    <t>conditional model</t>
  </si>
  <si>
    <t>zero-inflation model</t>
  </si>
  <si>
    <t>number flowered</t>
  </si>
  <si>
    <r>
      <rPr>
        <b/>
        <sz val="10"/>
        <color rgb="FF000000"/>
        <rFont val="Helvetica"/>
        <family val="2"/>
      </rPr>
      <t xml:space="preserve">a) </t>
    </r>
    <r>
      <rPr>
        <sz val="10"/>
        <color rgb="FF000000"/>
        <rFont val="Helvetica"/>
        <family val="2"/>
      </rPr>
      <t xml:space="preserve">Results of mixed effects models. F-statistic (linear mixed models) or Chi-square statistic (generalized mixed models), signiﬁcance levels, and degrees of freedom (df) are shown for each term. Zero inflated models were used for number flowered and number of flowering structures produced per plant. Population was included as a random factor. R2m = marginal R2 ; R2c = conditional R2. </t>
    </r>
  </si>
  <si>
    <t>spring VPD CV (%)</t>
  </si>
  <si>
    <t>State</t>
  </si>
  <si>
    <t>UT</t>
  </si>
  <si>
    <t>CO</t>
  </si>
  <si>
    <t>AZ</t>
  </si>
  <si>
    <t>NM</t>
  </si>
  <si>
    <t>F = 42.1948***</t>
  </si>
  <si>
    <t>F = 3.1251 #</t>
  </si>
  <si>
    <t>sVPD-CV</t>
  </si>
  <si>
    <t>OT x sVPD-CV</t>
  </si>
  <si>
    <t>PT x sVPD-CV</t>
  </si>
  <si>
    <t>OT x PT x sVPD-CV</t>
  </si>
  <si>
    <t>F = 2.0861</t>
  </si>
  <si>
    <t>F = 1.0453</t>
  </si>
  <si>
    <t>F = 6.6818**</t>
  </si>
  <si>
    <t>F = 6.4877*</t>
  </si>
  <si>
    <t>F = 6.9657**</t>
  </si>
  <si>
    <t>0.000*</t>
  </si>
  <si>
    <t>*The conditional R2 could not be calculated because the random effect variance for (1|pop) was effectively zero, suggesting minimal variation in  population-level differences. The random effect was retained in the model due to its conceptual importance."</t>
  </si>
  <si>
    <t>F = 184.3293***</t>
  </si>
  <si>
    <t>F = 92.9724***</t>
  </si>
  <si>
    <t>F = 38.6267***</t>
  </si>
  <si>
    <t>F = 1.9401</t>
  </si>
  <si>
    <t>F = 12.7805***</t>
  </si>
  <si>
    <t>F = 1.8832</t>
  </si>
  <si>
    <t>F = 8.1292**</t>
  </si>
  <si>
    <t>F = 0.8007</t>
  </si>
  <si>
    <t>F = 3.3317 #</t>
  </si>
  <si>
    <t>F = 2.6923</t>
  </si>
  <si>
    <t>F = 0.0358</t>
  </si>
  <si>
    <t>F = 0.0007</t>
  </si>
  <si>
    <t>F = 0.4492</t>
  </si>
  <si>
    <t>F = 1.2131</t>
  </si>
  <si>
    <t>F = 8.7548**</t>
  </si>
  <si>
    <t>F = 0.0065</t>
  </si>
  <si>
    <t>F = 8.6016**</t>
  </si>
  <si>
    <t>F = 0.5302</t>
  </si>
  <si>
    <t>F = 0.0786</t>
  </si>
  <si>
    <t>F = 0.111</t>
  </si>
  <si>
    <t>F = 0.0856</t>
  </si>
  <si>
    <t>X2 = 0.5622</t>
  </si>
  <si>
    <t>X2 = 0.4963</t>
  </si>
  <si>
    <t>F = 0.3128</t>
  </si>
  <si>
    <t>F = 1.0925</t>
  </si>
  <si>
    <t>F = 0.8986</t>
  </si>
  <si>
    <t>F = 1.0994</t>
  </si>
  <si>
    <t>F = 0.3424</t>
  </si>
  <si>
    <t>F = 0.1753</t>
  </si>
  <si>
    <t>F = 0.5561</t>
  </si>
  <si>
    <t>F = 4.0071*</t>
  </si>
  <si>
    <t>F = 2.3834</t>
  </si>
  <si>
    <t>F = 6.3966*</t>
  </si>
  <si>
    <t>F = 0.0117</t>
  </si>
  <si>
    <t>F = 0.7966</t>
  </si>
  <si>
    <t>F = 0.2841</t>
  </si>
  <si>
    <t>F = 0.0461</t>
  </si>
  <si>
    <t>F = 3.8151 #</t>
  </si>
  <si>
    <t>F = 2.2751</t>
  </si>
  <si>
    <t>F = 2.5964</t>
  </si>
  <si>
    <t>F = 5.6204*</t>
  </si>
  <si>
    <t>F = 0.5182</t>
  </si>
  <si>
    <t>F = 2.0341</t>
  </si>
  <si>
    <t>F = 0.0098</t>
  </si>
  <si>
    <t>F = 0.2471</t>
  </si>
  <si>
    <t>F = 0.1777</t>
  </si>
  <si>
    <t>F = 5.8834*</t>
  </si>
  <si>
    <t>F = 0.3554</t>
  </si>
  <si>
    <t>F = 3.4765 #</t>
  </si>
  <si>
    <t>F = 3.6949 #</t>
  </si>
  <si>
    <t>F = 0.909</t>
  </si>
  <si>
    <t>X2 = 1.5818</t>
  </si>
  <si>
    <t>X2 = 2.4899</t>
  </si>
  <si>
    <t>X2 = 3.8636*</t>
  </si>
  <si>
    <t>X2 = 3.7370 #</t>
  </si>
  <si>
    <t>X2 = 7.2036**</t>
  </si>
  <si>
    <t>X2 = 0.0247</t>
  </si>
  <si>
    <t>X2 = 0.8824</t>
  </si>
  <si>
    <t>X2 = 23.078***</t>
  </si>
  <si>
    <t>X2 = 10.632**</t>
  </si>
  <si>
    <t>X2 = 3.3255 #</t>
  </si>
  <si>
    <t>X2 = 0.575</t>
  </si>
  <si>
    <t>X2 = 10.0314**</t>
  </si>
  <si>
    <t>X2 = 2.2043</t>
  </si>
  <si>
    <t>X2 = 1.879</t>
  </si>
  <si>
    <t>X2 = 1.1826</t>
  </si>
  <si>
    <t>X2 = 1.9809</t>
  </si>
  <si>
    <t>X2 = 0.0613</t>
  </si>
  <si>
    <t>X2 = 0.0224</t>
  </si>
  <si>
    <t>X2 = 0.7833</t>
  </si>
  <si>
    <t>X2 = 16.8902***</t>
  </si>
  <si>
    <t>X2 = 6.1195*</t>
  </si>
  <si>
    <t>X2 = 15.949***</t>
  </si>
  <si>
    <t>X2 = 2.0336</t>
  </si>
  <si>
    <t>X2 = 0.3388</t>
  </si>
  <si>
    <t>X2 = 6.4568*</t>
  </si>
  <si>
    <t>X2 = 5.2154*</t>
  </si>
  <si>
    <t>X2 = 0.2623</t>
  </si>
  <si>
    <t>X2 = 0.3407</t>
  </si>
  <si>
    <t>X2 = 0.1891</t>
  </si>
  <si>
    <t>X2 = 0.8655</t>
  </si>
  <si>
    <t>X2 = 0.0259</t>
  </si>
  <si>
    <t>X2 = 0.0102</t>
  </si>
  <si>
    <t>X2 = 0.3699</t>
  </si>
  <si>
    <t>X2 = 1.1482</t>
  </si>
  <si>
    <t>X2 = 2.8731 #</t>
  </si>
  <si>
    <t>X2 = 9.7222**</t>
  </si>
  <si>
    <t>X2 = 0.0282</t>
  </si>
  <si>
    <t>X2 = 0.2191</t>
  </si>
  <si>
    <t>X2 = 0.0651</t>
  </si>
  <si>
    <t>X2 = 3.7915 #</t>
  </si>
  <si>
    <t>X2 = 0.2526</t>
  </si>
  <si>
    <t>X2 = 0.864</t>
  </si>
  <si>
    <t>X2 = 0.6711</t>
  </si>
  <si>
    <t>X2 = 0.3564</t>
  </si>
  <si>
    <t>X2 = 2.9813 #</t>
  </si>
  <si>
    <t>X2 = 1.2142</t>
  </si>
  <si>
    <t>SVPD (kPa)</t>
  </si>
  <si>
    <t>SVPD CV (%)</t>
  </si>
  <si>
    <t>F =  3.2213 #</t>
  </si>
  <si>
    <t>X2 = 1.5009</t>
  </si>
  <si>
    <t>GROWTH TRAITS</t>
  </si>
  <si>
    <t>RESOURCE ALLOCATION TRAITS</t>
  </si>
  <si>
    <t>SURVIVAL TRAITS</t>
  </si>
  <si>
    <t>REPRODUCTIVE TRAITS</t>
  </si>
  <si>
    <t>Pop</t>
  </si>
  <si>
    <t>spring_vpd_cv</t>
  </si>
  <si>
    <t>se</t>
  </si>
  <si>
    <t>root</t>
  </si>
  <si>
    <t>shoot</t>
  </si>
  <si>
    <r>
      <t>a)</t>
    </r>
    <r>
      <rPr>
        <sz val="10"/>
        <color rgb="FF000000"/>
        <rFont val="Times New Roman"/>
        <family val="1"/>
      </rPr>
      <t xml:space="preserve"> seed number</t>
    </r>
  </si>
  <si>
    <r>
      <t>b)</t>
    </r>
    <r>
      <rPr>
        <sz val="10"/>
        <color rgb="FF000000"/>
        <rFont val="Times New Roman"/>
        <family val="1"/>
      </rPr>
      <t xml:space="preserve"> spring VPD CV</t>
    </r>
  </si>
  <si>
    <t>-0.129**</t>
  </si>
  <si>
    <t>0.336***</t>
  </si>
  <si>
    <t>-0.292***</t>
  </si>
  <si>
    <t>high</t>
  </si>
  <si>
    <t>low</t>
  </si>
  <si>
    <t>HH</t>
  </si>
  <si>
    <t>IS HL WORSE?</t>
  </si>
  <si>
    <t>HL</t>
  </si>
  <si>
    <t>LH</t>
  </si>
  <si>
    <t>LL</t>
  </si>
  <si>
    <t>** aLL in all traits!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</si>
</sst>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0.00000"/>
  </numFmts>
  <fonts count="17">
    <font>
      <sz val="12"/>
      <color theme="1"/>
      <name val="Aptos Narrow"/>
      <family val="2"/>
      <scheme val="minor"/>
    </font>
    <font>
      <sz val="10"/>
      <color rgb="FF000000"/>
      <name val="Helvetica"/>
      <family val="2"/>
    </font>
    <font>
      <sz val="10"/>
      <color theme="1"/>
      <name val="Aptos Narrow"/>
      <family val="2"/>
      <scheme val="minor"/>
    </font>
    <font>
      <b/>
      <sz val="10"/>
      <color rgb="FF000000"/>
      <name val="Helvetica"/>
      <family val="2"/>
    </font>
    <font>
      <i/>
      <sz val="10"/>
      <color rgb="FF000000"/>
      <name val="Helvetica"/>
      <family val="2"/>
    </font>
    <font>
      <sz val="10"/>
      <color rgb="FF000000"/>
      <name val="Aptos"/>
    </font>
    <font>
      <i/>
      <sz val="10"/>
      <color rgb="FF000000"/>
      <name val="Aptos"/>
    </font>
    <font>
      <b/>
      <sz val="10"/>
      <color rgb="FF000000"/>
      <name val="Aptos"/>
    </font>
    <font>
      <sz val="10"/>
      <color theme="1"/>
      <name val="Helvetica"/>
      <family val="2"/>
    </font>
    <font>
      <vertAlign val="superscript"/>
      <sz val="10"/>
      <color rgb="FF000000"/>
      <name val="Helvetica"/>
      <family val="2"/>
    </font>
    <font>
      <sz val="8"/>
      <name val="Aptos Narrow"/>
      <family val="2"/>
      <scheme val="minor"/>
    </font>
    <font>
      <b/>
      <sz val="10"/>
      <color theme="1"/>
      <name val="Helvetica"/>
      <family val="2"/>
    </font>
    <font>
      <sz val="10"/>
      <color rgb="FF080808"/>
      <name val="Helvetica"/>
      <family val="2"/>
    </font>
    <font>
      <b/>
      <sz val="10"/>
      <color rgb="FF000000"/>
      <name val="Times New Roman"/>
      <family val="1"/>
    </font>
    <font>
      <sz val="10"/>
      <color rgb="FF000000"/>
      <name val="Times New Roman"/>
      <family val="1"/>
    </font>
    <font>
      <b/>
      <sz val="11"/>
      <color theme="1"/>
      <name val="Arial"/>
      <family val="2"/>
    </font>
    <font>
      <sz val="11"/>
      <color theme="1"/>
      <name val="Arial"/>
      <family val="2"/>
    </font>
  </fonts>
  <fills count="6">
    <fill>
      <patternFill patternType="none"/>
    </fill>
    <fill>
      <patternFill patternType="gray125"/>
    </fill>
    <fill>
      <patternFill patternType="solid">
        <fgColor theme="0" tint="-0.14999847407452621"/>
        <bgColor indexed="64"/>
      </patternFill>
    </fill>
    <fill>
      <patternFill patternType="solid">
        <fgColor rgb="FFD9D9D9"/>
        <bgColor rgb="FF000000"/>
      </patternFill>
    </fill>
    <fill>
      <patternFill patternType="solid">
        <fgColor theme="5" tint="0.59999389629810485"/>
        <bgColor indexed="64"/>
      </patternFill>
    </fill>
    <fill>
      <patternFill patternType="solid">
        <fgColor rgb="FFD9D9D9"/>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double">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double">
        <color indexed="64"/>
      </right>
      <top/>
      <bottom style="medium">
        <color indexed="64"/>
      </bottom>
      <diagonal/>
    </border>
  </borders>
  <cellStyleXfs count="1">
    <xf numFmtId="0" fontId="0" fillId="0" borderId="0"/>
  </cellStyleXfs>
  <cellXfs count="96">
    <xf numFmtId="0" fontId="0" fillId="0" borderId="0" xfId="0"/>
    <xf numFmtId="0" fontId="2" fillId="0" borderId="0" xfId="0" applyFont="1"/>
    <xf numFmtId="0" fontId="5" fillId="0" borderId="0" xfId="0" applyFont="1" applyAlignment="1">
      <alignment horizontal="center" vertical="center" wrapText="1" readingOrder="1"/>
    </xf>
    <xf numFmtId="0" fontId="6" fillId="0" borderId="0" xfId="0" applyFont="1" applyAlignment="1">
      <alignment horizontal="center" vertical="center" wrapText="1" readingOrder="1"/>
    </xf>
    <xf numFmtId="0" fontId="7" fillId="0" borderId="0" xfId="0" applyFont="1" applyAlignment="1">
      <alignment horizontal="center" vertical="center" wrapText="1" readingOrder="1"/>
    </xf>
    <xf numFmtId="0" fontId="5" fillId="0" borderId="0" xfId="0" applyFont="1" applyAlignment="1">
      <alignment vertical="center" wrapText="1" readingOrder="1"/>
    </xf>
    <xf numFmtId="164" fontId="1" fillId="0" borderId="1" xfId="0" applyNumberFormat="1" applyFont="1" applyBorder="1" applyAlignment="1">
      <alignment horizontal="center" vertical="center" wrapText="1" readingOrder="1"/>
    </xf>
    <xf numFmtId="0" fontId="8" fillId="0" borderId="1" xfId="0" applyFont="1" applyBorder="1" applyAlignment="1">
      <alignment horizontal="center" vertical="center"/>
    </xf>
    <xf numFmtId="0" fontId="8" fillId="0" borderId="0" xfId="0" applyFont="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2" borderId="4" xfId="0" applyFont="1" applyFill="1" applyBorder="1" applyAlignment="1">
      <alignment horizontal="center" vertical="center"/>
    </xf>
    <xf numFmtId="0" fontId="11" fillId="2" borderId="4" xfId="0" applyFont="1" applyFill="1" applyBorder="1" applyAlignment="1">
      <alignment horizontal="center" vertical="center"/>
    </xf>
    <xf numFmtId="0" fontId="8" fillId="0" borderId="6" xfId="0" applyFont="1" applyBorder="1" applyAlignment="1">
      <alignment horizontal="center" vertical="center"/>
    </xf>
    <xf numFmtId="164" fontId="8" fillId="0" borderId="6" xfId="0" applyNumberFormat="1" applyFont="1" applyBorder="1" applyAlignment="1">
      <alignment horizontal="center" vertical="center"/>
    </xf>
    <xf numFmtId="164" fontId="8" fillId="0" borderId="1" xfId="0" applyNumberFormat="1" applyFont="1" applyBorder="1" applyAlignment="1">
      <alignment horizontal="center" vertical="center"/>
    </xf>
    <xf numFmtId="164" fontId="8" fillId="0" borderId="3" xfId="0" applyNumberFormat="1" applyFont="1" applyBorder="1" applyAlignment="1">
      <alignment horizontal="center" vertical="center"/>
    </xf>
    <xf numFmtId="164" fontId="12" fillId="0" borderId="1" xfId="0" applyNumberFormat="1" applyFont="1" applyBorder="1" applyAlignment="1">
      <alignment horizontal="center" vertical="center"/>
    </xf>
    <xf numFmtId="164" fontId="12" fillId="0" borderId="1" xfId="0" applyNumberFormat="1" applyFont="1" applyBorder="1" applyAlignment="1">
      <alignment horizontal="center"/>
    </xf>
    <xf numFmtId="164" fontId="8" fillId="0" borderId="2" xfId="0" applyNumberFormat="1" applyFont="1" applyBorder="1" applyAlignment="1">
      <alignment horizontal="center" vertical="center"/>
    </xf>
    <xf numFmtId="164" fontId="12" fillId="0" borderId="3" xfId="0" applyNumberFormat="1" applyFont="1" applyBorder="1" applyAlignment="1">
      <alignment horizontal="center"/>
    </xf>
    <xf numFmtId="164" fontId="12" fillId="0" borderId="2" xfId="0" applyNumberFormat="1" applyFont="1" applyBorder="1" applyAlignment="1">
      <alignment horizontal="center"/>
    </xf>
    <xf numFmtId="0" fontId="11" fillId="0" borderId="0" xfId="0" applyFont="1" applyAlignment="1">
      <alignment horizontal="center" vertical="center"/>
    </xf>
    <xf numFmtId="0" fontId="11" fillId="2" borderId="11" xfId="0" applyFont="1" applyFill="1" applyBorder="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11" fillId="2" borderId="21" xfId="0" applyFont="1" applyFill="1" applyBorder="1" applyAlignment="1">
      <alignment horizontal="center" vertical="center"/>
    </xf>
    <xf numFmtId="0" fontId="11" fillId="2" borderId="14" xfId="0" applyFont="1" applyFill="1" applyBorder="1" applyAlignment="1">
      <alignment horizontal="center" vertical="center"/>
    </xf>
    <xf numFmtId="0" fontId="11" fillId="0" borderId="0" xfId="0" applyFont="1" applyAlignment="1">
      <alignment vertical="center"/>
    </xf>
    <xf numFmtId="0" fontId="8" fillId="0" borderId="0" xfId="0" applyFont="1" applyAlignment="1">
      <alignment vertical="center"/>
    </xf>
    <xf numFmtId="164" fontId="8" fillId="0" borderId="0" xfId="0" applyNumberFormat="1" applyFont="1" applyAlignment="1">
      <alignment horizontal="center" vertical="center"/>
    </xf>
    <xf numFmtId="164" fontId="8" fillId="0" borderId="16" xfId="0" applyNumberFormat="1" applyFont="1" applyBorder="1" applyAlignment="1">
      <alignment horizontal="center" vertical="center"/>
    </xf>
    <xf numFmtId="164" fontId="8" fillId="0" borderId="19" xfId="0" applyNumberFormat="1" applyFont="1" applyBorder="1" applyAlignment="1">
      <alignment horizontal="center" vertical="center"/>
    </xf>
    <xf numFmtId="164" fontId="8" fillId="0" borderId="17" xfId="0" applyNumberFormat="1" applyFont="1" applyBorder="1" applyAlignment="1">
      <alignment horizontal="center" vertical="center"/>
    </xf>
    <xf numFmtId="164" fontId="8" fillId="0" borderId="18" xfId="0" applyNumberFormat="1" applyFont="1" applyBorder="1" applyAlignment="1">
      <alignment horizontal="center" vertical="center"/>
    </xf>
    <xf numFmtId="164" fontId="8" fillId="0" borderId="20" xfId="0" applyNumberFormat="1" applyFont="1" applyBorder="1" applyAlignment="1">
      <alignment horizontal="center" vertical="center"/>
    </xf>
    <xf numFmtId="164" fontId="12" fillId="0" borderId="2" xfId="0" applyNumberFormat="1" applyFont="1" applyBorder="1" applyAlignment="1">
      <alignment horizontal="center" vertical="center"/>
    </xf>
    <xf numFmtId="0" fontId="1" fillId="0" borderId="0" xfId="0" applyFont="1" applyAlignment="1">
      <alignment vertical="center" wrapText="1" readingOrder="1"/>
    </xf>
    <xf numFmtId="0" fontId="1" fillId="0" borderId="1" xfId="0" applyFont="1" applyBorder="1" applyAlignment="1">
      <alignment horizontal="center" vertical="center" wrapText="1" readingOrder="1"/>
    </xf>
    <xf numFmtId="166" fontId="3" fillId="0" borderId="1" xfId="0" applyNumberFormat="1" applyFont="1" applyBorder="1" applyAlignment="1">
      <alignment horizontal="center" vertical="center" wrapText="1" readingOrder="1"/>
    </xf>
    <xf numFmtId="166" fontId="1" fillId="0" borderId="1" xfId="0" applyNumberFormat="1" applyFont="1" applyBorder="1" applyAlignment="1">
      <alignment horizontal="center" vertical="center" wrapText="1" readingOrder="1"/>
    </xf>
    <xf numFmtId="165" fontId="3" fillId="0" borderId="1" xfId="0" applyNumberFormat="1" applyFont="1" applyBorder="1" applyAlignment="1">
      <alignment horizontal="center" vertical="center" wrapText="1" readingOrder="1"/>
    </xf>
    <xf numFmtId="165" fontId="1" fillId="0" borderId="1" xfId="0" applyNumberFormat="1" applyFont="1" applyBorder="1" applyAlignment="1">
      <alignment horizontal="center" vertical="center" wrapText="1" readingOrder="1"/>
    </xf>
    <xf numFmtId="0" fontId="3" fillId="0" borderId="1" xfId="0" applyFont="1" applyBorder="1" applyAlignment="1">
      <alignment horizontal="center" vertical="center" wrapText="1" readingOrder="1"/>
    </xf>
    <xf numFmtId="0" fontId="4" fillId="0" borderId="1" xfId="0" applyFont="1" applyBorder="1" applyAlignment="1">
      <alignment horizontal="center" vertical="center" wrapText="1" readingOrder="1"/>
    </xf>
    <xf numFmtId="166" fontId="4" fillId="0" borderId="1" xfId="0" applyNumberFormat="1" applyFont="1" applyBorder="1" applyAlignment="1">
      <alignment horizontal="center" vertical="center" wrapText="1" readingOrder="1"/>
    </xf>
    <xf numFmtId="0" fontId="0" fillId="0" borderId="0" xfId="0" applyAlignment="1">
      <alignment horizontal="center"/>
    </xf>
    <xf numFmtId="0" fontId="11" fillId="0" borderId="0" xfId="0" applyFont="1" applyAlignment="1">
      <alignment horizontal="center"/>
    </xf>
    <xf numFmtId="0" fontId="8" fillId="0" borderId="0" xfId="0" applyFont="1" applyAlignment="1">
      <alignment horizontal="center"/>
    </xf>
    <xf numFmtId="0" fontId="11" fillId="2" borderId="1" xfId="0" applyFont="1" applyFill="1" applyBorder="1" applyAlignment="1">
      <alignment horizontal="center"/>
    </xf>
    <xf numFmtId="0" fontId="1" fillId="0" borderId="0" xfId="0" applyFont="1"/>
    <xf numFmtId="2" fontId="0" fillId="0" borderId="0" xfId="0" applyNumberFormat="1" applyAlignment="1">
      <alignment horizontal="center"/>
    </xf>
    <xf numFmtId="0" fontId="4" fillId="0" borderId="1" xfId="0" applyFont="1" applyBorder="1" applyAlignment="1">
      <alignment horizontal="right" vertical="center" wrapText="1" readingOrder="1"/>
    </xf>
    <xf numFmtId="165" fontId="3" fillId="4" borderId="1" xfId="0" applyNumberFormat="1" applyFont="1" applyFill="1" applyBorder="1" applyAlignment="1">
      <alignment horizontal="center" vertical="center" wrapText="1" readingOrder="1"/>
    </xf>
    <xf numFmtId="0" fontId="3" fillId="4" borderId="1" xfId="0" applyFont="1" applyFill="1" applyBorder="1" applyAlignment="1">
      <alignment horizontal="center" vertical="center" wrapText="1" readingOrder="1"/>
    </xf>
    <xf numFmtId="166" fontId="3" fillId="4" borderId="1" xfId="0" applyNumberFormat="1" applyFont="1" applyFill="1" applyBorder="1" applyAlignment="1">
      <alignment horizontal="center" vertical="center" wrapText="1" readingOrder="1"/>
    </xf>
    <xf numFmtId="166" fontId="4" fillId="4" borderId="1" xfId="0" applyNumberFormat="1" applyFont="1" applyFill="1" applyBorder="1" applyAlignment="1">
      <alignment horizontal="center" vertical="center" wrapText="1" readingOrder="1"/>
    </xf>
    <xf numFmtId="0" fontId="4" fillId="4" borderId="1" xfId="0" applyFont="1" applyFill="1" applyBorder="1" applyAlignment="1">
      <alignment horizontal="center" vertical="center" wrapText="1" readingOrder="1"/>
    </xf>
    <xf numFmtId="0" fontId="13" fillId="5" borderId="23" xfId="0" applyFont="1" applyFill="1" applyBorder="1" applyAlignment="1">
      <alignment horizontal="center" vertical="center" wrapText="1"/>
    </xf>
    <xf numFmtId="0" fontId="13" fillId="5" borderId="24" xfId="0" applyFont="1" applyFill="1" applyBorder="1" applyAlignment="1">
      <alignment horizontal="center" vertical="center" wrapText="1"/>
    </xf>
    <xf numFmtId="0" fontId="14" fillId="5" borderId="25" xfId="0" applyFont="1" applyFill="1" applyBorder="1" applyAlignment="1">
      <alignment horizontal="center" vertical="center" wrapText="1"/>
    </xf>
    <xf numFmtId="0" fontId="14" fillId="5" borderId="26" xfId="0" applyFont="1" applyFill="1" applyBorder="1" applyAlignment="1">
      <alignment horizontal="center" vertical="center" wrapText="1"/>
    </xf>
    <xf numFmtId="0" fontId="13" fillId="5" borderId="25" xfId="0" applyFont="1" applyFill="1" applyBorder="1" applyAlignment="1">
      <alignment horizontal="center" vertical="center" wrapText="1"/>
    </xf>
    <xf numFmtId="0" fontId="14" fillId="5" borderId="27" xfId="0" applyFont="1" applyFill="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3" fillId="0" borderId="29"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29" xfId="0" applyFont="1" applyBorder="1" applyAlignment="1">
      <alignment horizontal="center" vertical="center"/>
    </xf>
    <xf numFmtId="0" fontId="13" fillId="0" borderId="30" xfId="0" applyFont="1" applyBorder="1" applyAlignment="1">
      <alignment horizontal="center" vertical="center" wrapText="1"/>
    </xf>
    <xf numFmtId="0" fontId="13" fillId="0" borderId="29" xfId="0" applyFont="1" applyBorder="1" applyAlignment="1">
      <alignment horizontal="center" vertical="center"/>
    </xf>
    <xf numFmtId="0" fontId="15" fillId="0" borderId="1" xfId="0" applyFont="1" applyBorder="1" applyAlignment="1">
      <alignment horizontal="center"/>
    </xf>
    <xf numFmtId="0" fontId="16" fillId="0" borderId="1" xfId="0" applyFont="1" applyBorder="1" applyAlignment="1">
      <alignment horizontal="center"/>
    </xf>
    <xf numFmtId="166" fontId="16" fillId="0" borderId="1" xfId="0" applyNumberFormat="1" applyFont="1" applyBorder="1" applyAlignment="1">
      <alignment horizontal="center"/>
    </xf>
    <xf numFmtId="2" fontId="16" fillId="0" borderId="1" xfId="0" applyNumberFormat="1" applyFont="1" applyBorder="1" applyAlignment="1">
      <alignment horizontal="center"/>
    </xf>
    <xf numFmtId="0" fontId="1" fillId="0" borderId="1" xfId="0" applyFont="1" applyBorder="1" applyAlignment="1">
      <alignment horizontal="left" vertical="center" wrapText="1" readingOrder="1"/>
    </xf>
    <xf numFmtId="0" fontId="3" fillId="3" borderId="5" xfId="0" applyFont="1" applyFill="1" applyBorder="1" applyAlignment="1">
      <alignment horizontal="center" vertical="center" wrapText="1" readingOrder="1"/>
    </xf>
    <xf numFmtId="0" fontId="3" fillId="3" borderId="7" xfId="0" applyFont="1" applyFill="1" applyBorder="1" applyAlignment="1">
      <alignment horizontal="center" vertical="center" wrapText="1" readingOrder="1"/>
    </xf>
    <xf numFmtId="0" fontId="3" fillId="3" borderId="8" xfId="0" applyFont="1" applyFill="1" applyBorder="1" applyAlignment="1">
      <alignment horizontal="center" vertical="center" wrapText="1" readingOrder="1"/>
    </xf>
    <xf numFmtId="0" fontId="3" fillId="2" borderId="12" xfId="0" applyFont="1" applyFill="1" applyBorder="1" applyAlignment="1">
      <alignment horizontal="center" vertical="center" wrapText="1" readingOrder="1"/>
    </xf>
    <xf numFmtId="0" fontId="3" fillId="2" borderId="13" xfId="0" applyFont="1" applyFill="1" applyBorder="1" applyAlignment="1">
      <alignment horizontal="center" vertical="center" wrapText="1" readingOrder="1"/>
    </xf>
    <xf numFmtId="0" fontId="3" fillId="2" borderId="10" xfId="0" applyFont="1" applyFill="1" applyBorder="1" applyAlignment="1">
      <alignment horizontal="center" vertical="center" wrapText="1" readingOrder="1"/>
    </xf>
    <xf numFmtId="0" fontId="3" fillId="2" borderId="5" xfId="0" applyFont="1" applyFill="1" applyBorder="1" applyAlignment="1">
      <alignment horizontal="center" vertical="center" wrapText="1" readingOrder="1"/>
    </xf>
    <xf numFmtId="0" fontId="3" fillId="2" borderId="7" xfId="0" applyFont="1" applyFill="1" applyBorder="1" applyAlignment="1">
      <alignment horizontal="center" vertical="center" wrapText="1" readingOrder="1"/>
    </xf>
    <xf numFmtId="0" fontId="3" fillId="2" borderId="8" xfId="0" applyFont="1" applyFill="1" applyBorder="1" applyAlignment="1">
      <alignment horizontal="center" vertical="center" wrapText="1" readingOrder="1"/>
    </xf>
    <xf numFmtId="0" fontId="3" fillId="2" borderId="15" xfId="0" applyFont="1" applyFill="1" applyBorder="1" applyAlignment="1">
      <alignment horizontal="center" vertical="center" wrapText="1" readingOrder="1"/>
    </xf>
    <xf numFmtId="0" fontId="11" fillId="2" borderId="9"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8" xfId="0" applyFont="1" applyFill="1" applyBorder="1" applyAlignment="1">
      <alignment horizontal="center" vertical="center"/>
    </xf>
    <xf numFmtId="164" fontId="8" fillId="0" borderId="4" xfId="0" applyNumberFormat="1" applyFont="1" applyBorder="1" applyAlignment="1">
      <alignment horizontal="center" vertical="center"/>
    </xf>
    <xf numFmtId="164" fontId="8" fillId="0" borderId="22" xfId="0" applyNumberFormat="1" applyFont="1" applyBorder="1" applyAlignment="1">
      <alignment horizontal="center" vertical="center"/>
    </xf>
    <xf numFmtId="164" fontId="8" fillId="0" borderId="2" xfId="0" applyNumberFormat="1" applyFont="1" applyBorder="1" applyAlignment="1">
      <alignment horizontal="center" vertical="center"/>
    </xf>
    <xf numFmtId="0" fontId="11" fillId="2" borderId="1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4363-7C3B-D940-9634-78CD363F63A6}">
  <dimension ref="A1:I28"/>
  <sheetViews>
    <sheetView zoomScale="120" zoomScaleNormal="120" workbookViewId="0">
      <selection sqref="A1:F1"/>
    </sheetView>
  </sheetViews>
  <sheetFormatPr baseColWidth="10" defaultRowHeight="16"/>
  <cols>
    <col min="1" max="1" width="28" customWidth="1"/>
    <col min="2" max="6" width="15.83203125" customWidth="1"/>
    <col min="7" max="7" width="11.6640625" customWidth="1"/>
    <col min="8" max="9" width="5.6640625" bestFit="1" customWidth="1"/>
  </cols>
  <sheetData>
    <row r="1" spans="1:9" ht="49" customHeight="1">
      <c r="A1" s="78" t="s">
        <v>88</v>
      </c>
      <c r="B1" s="78"/>
      <c r="C1" s="78"/>
      <c r="D1" s="78"/>
      <c r="E1" s="78"/>
      <c r="F1" s="78"/>
      <c r="G1" s="40"/>
      <c r="H1" s="40"/>
      <c r="I1" s="40"/>
    </row>
    <row r="2" spans="1:9" ht="18" customHeight="1">
      <c r="A2" s="41" t="s">
        <v>0</v>
      </c>
      <c r="B2" s="41" t="s">
        <v>16</v>
      </c>
      <c r="C2" s="41" t="s">
        <v>17</v>
      </c>
      <c r="D2" s="41" t="s">
        <v>18</v>
      </c>
      <c r="E2" s="41" t="s">
        <v>19</v>
      </c>
      <c r="F2" s="41" t="s">
        <v>20</v>
      </c>
    </row>
    <row r="3" spans="1:9" ht="18" customHeight="1">
      <c r="A3" s="46" t="s">
        <v>209</v>
      </c>
      <c r="B3" s="41"/>
      <c r="C3" s="41"/>
      <c r="D3" s="41"/>
      <c r="E3" s="41"/>
      <c r="F3" s="41"/>
    </row>
    <row r="4" spans="1:9" ht="18" customHeight="1">
      <c r="A4" s="41" t="s">
        <v>1</v>
      </c>
      <c r="B4" s="42" t="s">
        <v>40</v>
      </c>
      <c r="C4" s="43" t="s">
        <v>38</v>
      </c>
      <c r="D4" s="43" t="s">
        <v>39</v>
      </c>
      <c r="E4" s="6">
        <v>0.13</v>
      </c>
      <c r="F4" s="6">
        <v>0.16300000000000001</v>
      </c>
    </row>
    <row r="5" spans="1:9" ht="18" customHeight="1">
      <c r="A5" s="41" t="s">
        <v>2</v>
      </c>
      <c r="B5" s="42" t="s">
        <v>43</v>
      </c>
      <c r="C5" s="43" t="s">
        <v>41</v>
      </c>
      <c r="D5" s="43" t="s">
        <v>42</v>
      </c>
      <c r="E5" s="6">
        <v>0.317</v>
      </c>
      <c r="F5" s="6">
        <v>0.42099999999999999</v>
      </c>
    </row>
    <row r="6" spans="1:9" ht="18" customHeight="1">
      <c r="A6" s="41" t="s">
        <v>3</v>
      </c>
      <c r="B6" s="42" t="s">
        <v>44</v>
      </c>
      <c r="C6" s="48" t="s">
        <v>207</v>
      </c>
      <c r="D6" s="43" t="s">
        <v>45</v>
      </c>
      <c r="E6" s="6">
        <v>0.22500000000000001</v>
      </c>
      <c r="F6" s="6">
        <v>0.28699999999999998</v>
      </c>
    </row>
    <row r="7" spans="1:9" ht="18" customHeight="1">
      <c r="A7" s="41" t="s">
        <v>4</v>
      </c>
      <c r="B7" s="43" t="s">
        <v>49</v>
      </c>
      <c r="C7" s="43" t="s">
        <v>50</v>
      </c>
      <c r="D7" s="43" t="s">
        <v>51</v>
      </c>
      <c r="E7" s="6">
        <v>2E-3</v>
      </c>
      <c r="F7" s="6">
        <v>0.128</v>
      </c>
    </row>
    <row r="8" spans="1:9" ht="18" customHeight="1">
      <c r="A8" s="41"/>
      <c r="B8" s="42"/>
      <c r="C8" s="43"/>
      <c r="D8" s="43"/>
      <c r="E8" s="6"/>
      <c r="F8" s="6"/>
    </row>
    <row r="9" spans="1:9" ht="18" customHeight="1">
      <c r="A9" s="46" t="s">
        <v>210</v>
      </c>
      <c r="B9" s="43"/>
      <c r="C9" s="43"/>
      <c r="D9" s="43"/>
      <c r="E9" s="6"/>
      <c r="F9" s="6"/>
    </row>
    <row r="10" spans="1:9" ht="18" customHeight="1">
      <c r="A10" s="41" t="s">
        <v>21</v>
      </c>
      <c r="B10" s="42" t="s">
        <v>46</v>
      </c>
      <c r="C10" s="43" t="s">
        <v>47</v>
      </c>
      <c r="D10" s="43" t="s">
        <v>48</v>
      </c>
      <c r="E10" s="6">
        <v>7.6999999999999999E-2</v>
      </c>
      <c r="F10" s="6">
        <v>0.13300000000000001</v>
      </c>
    </row>
    <row r="11" spans="1:9" ht="18" customHeight="1">
      <c r="A11" s="41" t="s">
        <v>5</v>
      </c>
      <c r="B11" s="42" t="s">
        <v>52</v>
      </c>
      <c r="C11" s="43" t="s">
        <v>53</v>
      </c>
      <c r="D11" s="43" t="s">
        <v>54</v>
      </c>
      <c r="E11" s="6">
        <v>1.7000000000000001E-2</v>
      </c>
      <c r="F11" s="6">
        <v>5.5E-2</v>
      </c>
    </row>
    <row r="12" spans="1:9" ht="18" customHeight="1">
      <c r="A12" s="41" t="s">
        <v>6</v>
      </c>
      <c r="B12" s="43" t="s">
        <v>55</v>
      </c>
      <c r="C12" s="43" t="s">
        <v>56</v>
      </c>
      <c r="D12" s="43" t="s">
        <v>57</v>
      </c>
      <c r="E12" s="6">
        <v>8.0000000000000002E-3</v>
      </c>
      <c r="F12" s="6">
        <v>6.7000000000000004E-2</v>
      </c>
    </row>
    <row r="13" spans="1:9" ht="18" customHeight="1">
      <c r="A13" s="41" t="s">
        <v>7</v>
      </c>
      <c r="B13" s="42" t="s">
        <v>58</v>
      </c>
      <c r="C13" s="43" t="s">
        <v>59</v>
      </c>
      <c r="D13" s="43" t="s">
        <v>60</v>
      </c>
      <c r="E13" s="6">
        <v>0.03</v>
      </c>
      <c r="F13" s="6">
        <v>6.7000000000000004E-2</v>
      </c>
    </row>
    <row r="14" spans="1:9" ht="18" customHeight="1">
      <c r="A14" s="41"/>
      <c r="B14" s="42"/>
      <c r="C14" s="43"/>
      <c r="D14" s="43"/>
      <c r="E14" s="6"/>
      <c r="F14" s="6"/>
    </row>
    <row r="15" spans="1:9" ht="18" customHeight="1">
      <c r="A15" s="46" t="s">
        <v>211</v>
      </c>
      <c r="B15" s="42"/>
      <c r="C15" s="43"/>
      <c r="D15" s="43"/>
      <c r="E15" s="6"/>
      <c r="F15" s="6"/>
    </row>
    <row r="16" spans="1:9" ht="18" customHeight="1">
      <c r="A16" s="41" t="s">
        <v>64</v>
      </c>
      <c r="B16" s="43" t="s">
        <v>208</v>
      </c>
      <c r="C16" s="43" t="s">
        <v>61</v>
      </c>
      <c r="D16" s="43" t="s">
        <v>62</v>
      </c>
      <c r="E16" s="6">
        <v>1.7000000000000001E-2</v>
      </c>
      <c r="F16" s="6">
        <v>4.8000000000000001E-2</v>
      </c>
    </row>
    <row r="17" spans="1:6" ht="18" customHeight="1">
      <c r="A17" s="41"/>
      <c r="B17" s="43"/>
      <c r="C17" s="43"/>
      <c r="D17" s="43"/>
      <c r="E17" s="6"/>
      <c r="F17" s="6"/>
    </row>
    <row r="18" spans="1:6" ht="18" customHeight="1">
      <c r="A18" s="46" t="s">
        <v>212</v>
      </c>
      <c r="B18" s="46"/>
      <c r="C18" s="41"/>
      <c r="D18" s="46"/>
      <c r="E18" s="6"/>
      <c r="F18" s="6"/>
    </row>
    <row r="19" spans="1:6" ht="18" customHeight="1">
      <c r="A19" s="41" t="s">
        <v>63</v>
      </c>
      <c r="B19" s="43" t="s">
        <v>65</v>
      </c>
      <c r="C19" s="43" t="s">
        <v>66</v>
      </c>
      <c r="D19" s="43" t="s">
        <v>67</v>
      </c>
      <c r="E19" s="6">
        <v>4.7E-2</v>
      </c>
      <c r="F19" s="6">
        <v>0.112</v>
      </c>
    </row>
    <row r="20" spans="1:6" ht="18" customHeight="1">
      <c r="A20" s="41" t="s">
        <v>87</v>
      </c>
      <c r="B20" s="41"/>
      <c r="C20" s="41"/>
      <c r="D20" s="41"/>
      <c r="E20" s="6"/>
      <c r="F20" s="6"/>
    </row>
    <row r="21" spans="1:6" ht="18" customHeight="1">
      <c r="A21" s="55" t="s">
        <v>85</v>
      </c>
      <c r="B21" s="46" t="s">
        <v>74</v>
      </c>
      <c r="C21" s="46" t="s">
        <v>75</v>
      </c>
      <c r="D21" s="41" t="s">
        <v>76</v>
      </c>
      <c r="E21" s="6">
        <v>0.14699999999999999</v>
      </c>
      <c r="F21" s="6">
        <v>0.48199999999999998</v>
      </c>
    </row>
    <row r="22" spans="1:6" ht="18" customHeight="1">
      <c r="A22" s="55" t="s">
        <v>86</v>
      </c>
      <c r="B22" s="41" t="s">
        <v>77</v>
      </c>
      <c r="C22" s="41" t="s">
        <v>78</v>
      </c>
      <c r="D22" s="41"/>
      <c r="E22" s="6"/>
      <c r="F22" s="6"/>
    </row>
    <row r="23" spans="1:6" ht="18" customHeight="1">
      <c r="A23" s="41" t="s">
        <v>84</v>
      </c>
      <c r="B23" s="41"/>
      <c r="C23" s="41"/>
      <c r="D23" s="41"/>
      <c r="E23" s="6"/>
      <c r="F23" s="6"/>
    </row>
    <row r="24" spans="1:6" ht="18" customHeight="1">
      <c r="A24" s="55" t="s">
        <v>85</v>
      </c>
      <c r="B24" s="46" t="s">
        <v>79</v>
      </c>
      <c r="C24" s="41" t="s">
        <v>80</v>
      </c>
      <c r="D24" s="41" t="s">
        <v>81</v>
      </c>
      <c r="E24" s="6">
        <v>0.48199999999999998</v>
      </c>
      <c r="F24" s="6">
        <v>0.48199999999999998</v>
      </c>
    </row>
    <row r="25" spans="1:6" ht="18" customHeight="1">
      <c r="A25" s="55" t="s">
        <v>86</v>
      </c>
      <c r="B25" s="46" t="s">
        <v>82</v>
      </c>
      <c r="C25" s="46" t="s">
        <v>83</v>
      </c>
      <c r="D25" s="41"/>
      <c r="E25" s="6"/>
      <c r="F25" s="6"/>
    </row>
    <row r="26" spans="1:6" ht="18" customHeight="1">
      <c r="A26" s="41" t="s">
        <v>11</v>
      </c>
      <c r="B26" s="44" t="s">
        <v>68</v>
      </c>
      <c r="C26" s="45" t="s">
        <v>69</v>
      </c>
      <c r="D26" s="56" t="s">
        <v>70</v>
      </c>
      <c r="E26" s="41">
        <v>0.22600000000000001</v>
      </c>
      <c r="F26" s="41">
        <v>0.22600000000000001</v>
      </c>
    </row>
    <row r="27" spans="1:6" ht="18" customHeight="1">
      <c r="A27" s="41" t="s">
        <v>8</v>
      </c>
      <c r="B27" s="46" t="s">
        <v>72</v>
      </c>
      <c r="C27" s="41" t="s">
        <v>71</v>
      </c>
      <c r="D27" s="57" t="s">
        <v>73</v>
      </c>
      <c r="E27" s="6">
        <v>0.27700000000000002</v>
      </c>
      <c r="F27" s="6">
        <v>0.29499999999999998</v>
      </c>
    </row>
    <row r="28" spans="1:6" ht="18" customHeight="1">
      <c r="A28" s="41" t="s">
        <v>9</v>
      </c>
      <c r="B28" s="41">
        <v>1</v>
      </c>
      <c r="C28" s="41">
        <v>1</v>
      </c>
      <c r="D28" s="41">
        <v>1</v>
      </c>
      <c r="E28" s="41"/>
      <c r="F28" s="41"/>
    </row>
  </sheetData>
  <mergeCells count="1">
    <mergeCell ref="A1:F1"/>
  </mergeCells>
  <phoneticPr fontId="10" type="noConversion"/>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EE752-0B02-C141-AC4D-545F73B104DE}">
  <dimension ref="A1:M31"/>
  <sheetViews>
    <sheetView topLeftCell="A10" zoomScale="120" zoomScaleNormal="120" workbookViewId="0">
      <selection activeCell="E31" sqref="E31"/>
    </sheetView>
  </sheetViews>
  <sheetFormatPr baseColWidth="10" defaultRowHeight="16"/>
  <cols>
    <col min="1" max="1" width="28" customWidth="1"/>
    <col min="2" max="10" width="15.83203125" customWidth="1"/>
    <col min="11" max="11" width="11.6640625" customWidth="1"/>
    <col min="12" max="13" width="5.6640625" bestFit="1" customWidth="1"/>
  </cols>
  <sheetData>
    <row r="1" spans="1:13" ht="49" customHeight="1">
      <c r="A1" s="78" t="s">
        <v>88</v>
      </c>
      <c r="B1" s="78"/>
      <c r="C1" s="78"/>
      <c r="D1" s="78"/>
      <c r="E1" s="78"/>
      <c r="F1" s="78"/>
      <c r="G1" s="78"/>
      <c r="H1" s="78"/>
      <c r="I1" s="78"/>
      <c r="J1" s="78"/>
      <c r="K1" s="40"/>
      <c r="L1" s="40"/>
      <c r="M1" s="40"/>
    </row>
    <row r="2" spans="1:13" ht="18" customHeight="1">
      <c r="A2" s="41" t="s">
        <v>0</v>
      </c>
      <c r="B2" s="41" t="s">
        <v>16</v>
      </c>
      <c r="C2" s="41" t="s">
        <v>17</v>
      </c>
      <c r="D2" s="41" t="s">
        <v>97</v>
      </c>
      <c r="E2" s="41" t="s">
        <v>18</v>
      </c>
      <c r="F2" s="41" t="s">
        <v>98</v>
      </c>
      <c r="G2" s="41" t="s">
        <v>99</v>
      </c>
      <c r="H2" s="41" t="s">
        <v>100</v>
      </c>
      <c r="I2" s="41" t="s">
        <v>19</v>
      </c>
      <c r="J2" s="41" t="s">
        <v>20</v>
      </c>
    </row>
    <row r="3" spans="1:13" ht="18" customHeight="1">
      <c r="A3" s="46" t="s">
        <v>209</v>
      </c>
      <c r="B3" s="41"/>
      <c r="C3" s="41"/>
      <c r="D3" s="41"/>
      <c r="E3" s="41"/>
      <c r="F3" s="41"/>
      <c r="G3" s="41"/>
      <c r="H3" s="41"/>
      <c r="I3" s="41"/>
      <c r="J3" s="41"/>
    </row>
    <row r="4" spans="1:13" ht="18" customHeight="1">
      <c r="A4" s="41" t="s">
        <v>1</v>
      </c>
      <c r="B4" s="42" t="s">
        <v>95</v>
      </c>
      <c r="C4" s="48" t="s">
        <v>96</v>
      </c>
      <c r="D4" s="43" t="s">
        <v>101</v>
      </c>
      <c r="E4" s="43" t="s">
        <v>102</v>
      </c>
      <c r="F4" s="42" t="s">
        <v>103</v>
      </c>
      <c r="G4" s="42" t="s">
        <v>104</v>
      </c>
      <c r="H4" s="58" t="s">
        <v>105</v>
      </c>
      <c r="I4" s="6">
        <v>0.14099999999999999</v>
      </c>
      <c r="J4" s="6">
        <v>0.17499999999999999</v>
      </c>
    </row>
    <row r="5" spans="1:13" ht="18" customHeight="1">
      <c r="A5" s="41" t="s">
        <v>2</v>
      </c>
      <c r="B5" s="42" t="s">
        <v>108</v>
      </c>
      <c r="C5" s="43" t="s">
        <v>115</v>
      </c>
      <c r="D5" s="42" t="s">
        <v>122</v>
      </c>
      <c r="E5" s="43" t="s">
        <v>131</v>
      </c>
      <c r="F5" s="42" t="s">
        <v>138</v>
      </c>
      <c r="G5" s="48" t="s">
        <v>145</v>
      </c>
      <c r="H5" s="43" t="s">
        <v>158</v>
      </c>
      <c r="I5" s="6">
        <v>0.34499999999999997</v>
      </c>
      <c r="J5" s="6">
        <v>0.43265559999999997</v>
      </c>
    </row>
    <row r="6" spans="1:13" ht="18" customHeight="1">
      <c r="A6" s="41" t="s">
        <v>3</v>
      </c>
      <c r="B6" s="42" t="s">
        <v>109</v>
      </c>
      <c r="C6" s="48" t="s">
        <v>116</v>
      </c>
      <c r="D6" s="43" t="s">
        <v>123</v>
      </c>
      <c r="E6" s="43" t="s">
        <v>132</v>
      </c>
      <c r="F6" s="43" t="s">
        <v>139</v>
      </c>
      <c r="G6" s="43" t="s">
        <v>146</v>
      </c>
      <c r="H6" s="59" t="s">
        <v>157</v>
      </c>
      <c r="I6" s="6">
        <v>0.23435890000000001</v>
      </c>
      <c r="J6" s="6">
        <v>0.2932939</v>
      </c>
    </row>
    <row r="7" spans="1:13" ht="18" customHeight="1">
      <c r="A7" s="41" t="s">
        <v>4</v>
      </c>
      <c r="B7" s="43" t="s">
        <v>111</v>
      </c>
      <c r="C7" s="43" t="s">
        <v>118</v>
      </c>
      <c r="D7" s="43" t="s">
        <v>125</v>
      </c>
      <c r="E7" s="43" t="s">
        <v>134</v>
      </c>
      <c r="F7" s="43" t="s">
        <v>141</v>
      </c>
      <c r="G7" s="42" t="s">
        <v>148</v>
      </c>
      <c r="H7" s="43" t="s">
        <v>155</v>
      </c>
      <c r="I7" s="6">
        <v>8.742306E-3</v>
      </c>
      <c r="J7" s="6">
        <v>0.14663870000000001</v>
      </c>
    </row>
    <row r="8" spans="1:13" ht="18" customHeight="1">
      <c r="A8" s="41"/>
      <c r="B8" s="42"/>
      <c r="C8" s="43"/>
      <c r="D8" s="42"/>
      <c r="E8" s="43"/>
      <c r="F8" s="42"/>
      <c r="G8" s="43"/>
      <c r="H8" s="48"/>
      <c r="I8" s="6"/>
      <c r="J8" s="6"/>
    </row>
    <row r="9" spans="1:13" ht="18" customHeight="1">
      <c r="A9" s="46" t="s">
        <v>210</v>
      </c>
      <c r="B9" s="43"/>
      <c r="C9" s="43"/>
      <c r="D9" s="43"/>
      <c r="E9" s="43"/>
      <c r="F9" s="43"/>
      <c r="G9" s="42"/>
      <c r="H9" s="43"/>
      <c r="I9" s="6"/>
      <c r="J9" s="6"/>
    </row>
    <row r="10" spans="1:13" ht="18" customHeight="1">
      <c r="A10" s="41" t="s">
        <v>21</v>
      </c>
      <c r="B10" s="42" t="s">
        <v>110</v>
      </c>
      <c r="C10" s="43" t="s">
        <v>117</v>
      </c>
      <c r="D10" s="42" t="s">
        <v>124</v>
      </c>
      <c r="E10" s="43" t="s">
        <v>133</v>
      </c>
      <c r="F10" s="42" t="s">
        <v>140</v>
      </c>
      <c r="G10" s="43" t="s">
        <v>147</v>
      </c>
      <c r="H10" s="59" t="s">
        <v>156</v>
      </c>
      <c r="I10" s="6">
        <v>0.1011802</v>
      </c>
      <c r="J10" s="6">
        <v>0.14729500000000001</v>
      </c>
    </row>
    <row r="11" spans="1:13" ht="18" customHeight="1">
      <c r="A11" s="41" t="s">
        <v>5</v>
      </c>
      <c r="B11" s="42" t="s">
        <v>112</v>
      </c>
      <c r="C11" s="43" t="s">
        <v>119</v>
      </c>
      <c r="D11" s="43" t="s">
        <v>126</v>
      </c>
      <c r="E11" s="43" t="s">
        <v>135</v>
      </c>
      <c r="F11" s="43" t="s">
        <v>142</v>
      </c>
      <c r="G11" s="43" t="s">
        <v>149</v>
      </c>
      <c r="H11" s="58" t="s">
        <v>154</v>
      </c>
      <c r="I11" s="6">
        <v>2.517138E-2</v>
      </c>
      <c r="J11" s="6">
        <v>6.8607119999999994E-2</v>
      </c>
    </row>
    <row r="12" spans="1:13" ht="18" customHeight="1">
      <c r="A12" s="41" t="s">
        <v>6</v>
      </c>
      <c r="B12" s="43" t="s">
        <v>113</v>
      </c>
      <c r="C12" s="43" t="s">
        <v>120</v>
      </c>
      <c r="D12" s="43" t="s">
        <v>127</v>
      </c>
      <c r="E12" s="43" t="s">
        <v>136</v>
      </c>
      <c r="F12" s="43" t="s">
        <v>143</v>
      </c>
      <c r="G12" s="43" t="s">
        <v>150</v>
      </c>
      <c r="H12" s="43" t="s">
        <v>153</v>
      </c>
      <c r="I12" s="6">
        <v>1.601876E-2</v>
      </c>
      <c r="J12" s="6">
        <v>8.371162E-2</v>
      </c>
    </row>
    <row r="13" spans="1:13" ht="18" customHeight="1">
      <c r="A13" s="41" t="s">
        <v>7</v>
      </c>
      <c r="B13" s="42" t="s">
        <v>114</v>
      </c>
      <c r="C13" s="43" t="s">
        <v>121</v>
      </c>
      <c r="D13" s="43" t="s">
        <v>128</v>
      </c>
      <c r="E13" s="43" t="s">
        <v>137</v>
      </c>
      <c r="F13" s="43" t="s">
        <v>144</v>
      </c>
      <c r="G13" s="43" t="s">
        <v>151</v>
      </c>
      <c r="H13" s="43" t="s">
        <v>152</v>
      </c>
      <c r="I13" s="6">
        <v>3.0825140000000001E-2</v>
      </c>
      <c r="J13" s="6">
        <v>7.0982799999999999E-2</v>
      </c>
    </row>
    <row r="14" spans="1:13" ht="18" customHeight="1">
      <c r="A14" s="41"/>
      <c r="B14" s="42"/>
      <c r="C14" s="43"/>
      <c r="D14" s="43"/>
      <c r="E14" s="43"/>
      <c r="F14" s="43"/>
      <c r="G14" s="43"/>
      <c r="H14" s="43"/>
      <c r="I14" s="6"/>
      <c r="J14" s="6"/>
    </row>
    <row r="15" spans="1:13" ht="18" customHeight="1">
      <c r="A15" s="46" t="s">
        <v>211</v>
      </c>
      <c r="B15" s="42"/>
      <c r="C15" s="43"/>
      <c r="D15" s="43"/>
      <c r="E15" s="43"/>
      <c r="F15" s="43"/>
      <c r="G15" s="43"/>
      <c r="H15" s="43"/>
      <c r="I15" s="6"/>
      <c r="J15" s="6"/>
    </row>
    <row r="16" spans="1:13" ht="18" customHeight="1">
      <c r="A16" s="41" t="s">
        <v>64</v>
      </c>
      <c r="B16" s="43" t="s">
        <v>159</v>
      </c>
      <c r="C16" s="43" t="s">
        <v>174</v>
      </c>
      <c r="D16" s="43" t="s">
        <v>129</v>
      </c>
      <c r="E16" s="43" t="s">
        <v>186</v>
      </c>
      <c r="F16" s="43" t="s">
        <v>187</v>
      </c>
      <c r="G16" s="48" t="s">
        <v>198</v>
      </c>
      <c r="H16" s="43" t="s">
        <v>199</v>
      </c>
      <c r="I16" s="6">
        <v>2.624553E-2</v>
      </c>
      <c r="J16" s="6">
        <v>5.2583579999999998E-2</v>
      </c>
    </row>
    <row r="17" spans="1:10" ht="18" customHeight="1">
      <c r="A17" s="41"/>
      <c r="B17" s="43"/>
      <c r="C17" s="43"/>
      <c r="D17" s="43"/>
      <c r="E17" s="43"/>
      <c r="F17" s="43"/>
      <c r="G17" s="48"/>
      <c r="H17" s="43"/>
      <c r="I17" s="6"/>
      <c r="J17" s="6"/>
    </row>
    <row r="18" spans="1:10" ht="18" customHeight="1">
      <c r="A18" s="46" t="s">
        <v>212</v>
      </c>
      <c r="B18" s="43"/>
      <c r="C18" s="43"/>
      <c r="D18" s="43"/>
      <c r="E18" s="43"/>
      <c r="F18" s="43"/>
      <c r="G18" s="48"/>
      <c r="H18" s="43"/>
      <c r="I18" s="6"/>
      <c r="J18" s="6"/>
    </row>
    <row r="19" spans="1:10" ht="18" customHeight="1">
      <c r="A19" s="41" t="s">
        <v>63</v>
      </c>
      <c r="B19" s="43" t="s">
        <v>160</v>
      </c>
      <c r="C19" s="43" t="s">
        <v>173</v>
      </c>
      <c r="D19" s="43" t="s">
        <v>130</v>
      </c>
      <c r="E19" s="43" t="s">
        <v>185</v>
      </c>
      <c r="F19" s="43" t="s">
        <v>188</v>
      </c>
      <c r="G19" s="43" t="s">
        <v>197</v>
      </c>
      <c r="H19" s="43" t="s">
        <v>200</v>
      </c>
      <c r="I19" s="6">
        <v>5.7732789999999999E-2</v>
      </c>
      <c r="J19" s="6">
        <v>0.1200833</v>
      </c>
    </row>
    <row r="20" spans="1:10" ht="18" customHeight="1">
      <c r="A20" s="41" t="s">
        <v>87</v>
      </c>
      <c r="B20" s="41"/>
      <c r="C20" s="41"/>
      <c r="D20" s="41"/>
      <c r="E20" s="41"/>
      <c r="F20" s="41"/>
      <c r="G20" s="41"/>
      <c r="H20" s="41"/>
      <c r="I20" s="6"/>
      <c r="J20" s="6"/>
    </row>
    <row r="21" spans="1:10" ht="18" customHeight="1">
      <c r="A21" s="55" t="s">
        <v>85</v>
      </c>
      <c r="B21" s="46" t="s">
        <v>163</v>
      </c>
      <c r="C21" s="46" t="s">
        <v>170</v>
      </c>
      <c r="D21" s="41" t="s">
        <v>177</v>
      </c>
      <c r="E21" s="41" t="s">
        <v>182</v>
      </c>
      <c r="F21" s="41" t="s">
        <v>191</v>
      </c>
      <c r="G21" s="46" t="s">
        <v>194</v>
      </c>
      <c r="H21" s="60" t="s">
        <v>203</v>
      </c>
      <c r="I21" s="6">
        <v>0.26300000000000001</v>
      </c>
      <c r="J21" s="6">
        <v>0.59599999999999997</v>
      </c>
    </row>
    <row r="22" spans="1:10" ht="18" customHeight="1">
      <c r="A22" s="55" t="s">
        <v>86</v>
      </c>
      <c r="B22" s="41" t="s">
        <v>164</v>
      </c>
      <c r="C22" s="41" t="s">
        <v>169</v>
      </c>
      <c r="D22" s="46" t="s">
        <v>178</v>
      </c>
      <c r="E22" s="41"/>
      <c r="F22" s="41"/>
      <c r="G22" s="41"/>
      <c r="H22" s="41"/>
      <c r="I22" s="6"/>
      <c r="J22" s="6"/>
    </row>
    <row r="23" spans="1:10" ht="18" customHeight="1">
      <c r="A23" s="41" t="s">
        <v>84</v>
      </c>
      <c r="B23" s="41"/>
      <c r="C23" s="41"/>
      <c r="D23" s="41"/>
      <c r="E23" s="41"/>
      <c r="F23" s="41"/>
      <c r="G23" s="41"/>
      <c r="H23" s="41"/>
      <c r="I23" s="6"/>
      <c r="J23" s="6"/>
    </row>
    <row r="24" spans="1:10" ht="18" customHeight="1">
      <c r="A24" s="55" t="s">
        <v>85</v>
      </c>
      <c r="B24" s="41" t="s">
        <v>165</v>
      </c>
      <c r="C24" s="47" t="s">
        <v>168</v>
      </c>
      <c r="D24" s="46" t="s">
        <v>179</v>
      </c>
      <c r="E24" s="41" t="s">
        <v>181</v>
      </c>
      <c r="F24" s="41" t="s">
        <v>192</v>
      </c>
      <c r="G24" s="47" t="s">
        <v>193</v>
      </c>
      <c r="H24" s="41" t="s">
        <v>204</v>
      </c>
      <c r="I24" s="6">
        <v>0.30499999999999999</v>
      </c>
      <c r="J24" s="6" t="s">
        <v>106</v>
      </c>
    </row>
    <row r="25" spans="1:10" ht="18" customHeight="1">
      <c r="A25" s="55" t="s">
        <v>86</v>
      </c>
      <c r="B25" s="46" t="s">
        <v>166</v>
      </c>
      <c r="C25" s="46" t="s">
        <v>167</v>
      </c>
      <c r="D25" s="46" t="s">
        <v>180</v>
      </c>
      <c r="E25" s="41"/>
      <c r="F25" s="41"/>
      <c r="G25" s="41"/>
      <c r="H25" s="41"/>
      <c r="I25" s="6"/>
      <c r="J25" s="6"/>
    </row>
    <row r="26" spans="1:10" ht="18" customHeight="1">
      <c r="A26" s="41" t="s">
        <v>11</v>
      </c>
      <c r="B26" s="44" t="s">
        <v>161</v>
      </c>
      <c r="C26" s="45" t="s">
        <v>172</v>
      </c>
      <c r="D26" s="45" t="s">
        <v>175</v>
      </c>
      <c r="E26" s="56" t="s">
        <v>184</v>
      </c>
      <c r="F26" s="45" t="s">
        <v>189</v>
      </c>
      <c r="G26" s="45" t="s">
        <v>196</v>
      </c>
      <c r="H26" s="45" t="s">
        <v>201</v>
      </c>
      <c r="I26" s="6">
        <v>0.2698161</v>
      </c>
      <c r="J26" s="6">
        <v>0.2698161</v>
      </c>
    </row>
    <row r="27" spans="1:10" ht="18" customHeight="1">
      <c r="A27" s="41" t="s">
        <v>8</v>
      </c>
      <c r="B27" s="47" t="s">
        <v>162</v>
      </c>
      <c r="C27" s="41" t="s">
        <v>171</v>
      </c>
      <c r="D27" s="41" t="s">
        <v>176</v>
      </c>
      <c r="E27" s="57" t="s">
        <v>183</v>
      </c>
      <c r="F27" s="41" t="s">
        <v>190</v>
      </c>
      <c r="G27" s="41" t="s">
        <v>195</v>
      </c>
      <c r="H27" s="41" t="s">
        <v>202</v>
      </c>
      <c r="I27" s="6">
        <v>0.28999009999999997</v>
      </c>
      <c r="J27" s="6">
        <v>0.29277750000000002</v>
      </c>
    </row>
    <row r="28" spans="1:10" ht="18" customHeight="1">
      <c r="A28" s="41" t="s">
        <v>9</v>
      </c>
      <c r="B28" s="41">
        <v>1</v>
      </c>
      <c r="C28" s="41">
        <v>1</v>
      </c>
      <c r="D28" s="41">
        <v>1</v>
      </c>
      <c r="E28" s="41">
        <v>1</v>
      </c>
      <c r="F28" s="41">
        <v>1</v>
      </c>
      <c r="G28" s="41">
        <v>1</v>
      </c>
      <c r="H28" s="41">
        <v>1</v>
      </c>
      <c r="I28" s="41"/>
      <c r="J28" s="41"/>
    </row>
    <row r="31" spans="1:10">
      <c r="A31" s="53" t="s">
        <v>107</v>
      </c>
    </row>
  </sheetData>
  <mergeCells count="1">
    <mergeCell ref="A1:J1"/>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A1B1-CC2D-B64B-AB81-02C4F28850A2}">
  <dimension ref="A1:F15"/>
  <sheetViews>
    <sheetView zoomScale="120" zoomScaleNormal="120" workbookViewId="0">
      <selection activeCell="F16" sqref="F16"/>
    </sheetView>
  </sheetViews>
  <sheetFormatPr baseColWidth="10" defaultRowHeight="14"/>
  <cols>
    <col min="1" max="1" width="7.5" style="1" bestFit="1" customWidth="1"/>
    <col min="2" max="16384" width="10.83203125" style="1"/>
  </cols>
  <sheetData>
    <row r="1" spans="1:6" ht="29" thickBot="1">
      <c r="A1" s="61"/>
      <c r="B1" s="62" t="s">
        <v>218</v>
      </c>
      <c r="C1" s="63" t="s">
        <v>8</v>
      </c>
      <c r="D1" s="63" t="s">
        <v>14</v>
      </c>
      <c r="E1" s="64" t="s">
        <v>15</v>
      </c>
      <c r="F1" s="65" t="s">
        <v>219</v>
      </c>
    </row>
    <row r="2" spans="1:6" ht="15" thickBot="1">
      <c r="A2" s="66" t="s">
        <v>5</v>
      </c>
      <c r="B2" s="67">
        <v>-6.0400000000000002E-2</v>
      </c>
      <c r="C2" s="68">
        <v>-9.2999999999999999E-2</v>
      </c>
      <c r="D2" s="69" t="s">
        <v>220</v>
      </c>
      <c r="E2" s="70">
        <v>7.0000000000000001E-3</v>
      </c>
      <c r="F2" s="71">
        <v>-3.4000000000000002E-2</v>
      </c>
    </row>
    <row r="3" spans="1:6" ht="28" customHeight="1" thickBot="1">
      <c r="A3" s="66" t="s">
        <v>1</v>
      </c>
      <c r="B3" s="67">
        <v>0.105</v>
      </c>
      <c r="C3" s="68">
        <v>0.121</v>
      </c>
      <c r="D3" s="68">
        <v>-5.0999999999999997E-2</v>
      </c>
      <c r="E3" s="72" t="s">
        <v>221</v>
      </c>
      <c r="F3" s="73" t="s">
        <v>222</v>
      </c>
    </row>
    <row r="4" spans="1:6">
      <c r="A4" s="2"/>
      <c r="B4" s="2"/>
      <c r="C4" s="2"/>
      <c r="D4" s="3"/>
      <c r="E4" s="2"/>
    </row>
    <row r="5" spans="1:6">
      <c r="A5" s="2"/>
      <c r="B5" s="4"/>
      <c r="C5" s="2"/>
      <c r="D5" s="2"/>
      <c r="E5" s="2"/>
    </row>
    <row r="6" spans="1:6">
      <c r="A6" s="2"/>
      <c r="B6" s="2"/>
      <c r="C6" s="2"/>
      <c r="D6" s="3"/>
      <c r="E6" s="2"/>
    </row>
    <row r="7" spans="1:6">
      <c r="A7" s="2"/>
      <c r="B7" s="2"/>
      <c r="C7" s="2"/>
      <c r="D7" s="2"/>
      <c r="E7" s="2"/>
    </row>
    <row r="8" spans="1:6">
      <c r="A8" s="2"/>
      <c r="B8" s="2"/>
      <c r="C8" s="2"/>
      <c r="D8" s="2"/>
      <c r="E8" s="2"/>
    </row>
    <row r="9" spans="1:6">
      <c r="A9" s="5"/>
      <c r="B9" s="5"/>
      <c r="C9" s="5"/>
      <c r="D9" s="5"/>
      <c r="E9" s="5"/>
    </row>
    <row r="10" spans="1:6">
      <c r="A10" s="5"/>
      <c r="B10" s="5"/>
      <c r="C10" s="5"/>
      <c r="D10" s="5"/>
      <c r="E10" s="5"/>
    </row>
    <row r="11" spans="1:6">
      <c r="A11" s="4"/>
      <c r="B11" s="4"/>
      <c r="C11" s="4"/>
      <c r="D11" s="4"/>
      <c r="E11" s="4"/>
    </row>
    <row r="12" spans="1:6">
      <c r="A12" s="2"/>
      <c r="B12" s="2"/>
      <c r="C12" s="2"/>
      <c r="D12" s="3"/>
      <c r="E12" s="2"/>
    </row>
    <row r="13" spans="1:6">
      <c r="A13" s="2"/>
      <c r="B13" s="4"/>
      <c r="C13" s="4"/>
      <c r="D13" s="4"/>
      <c r="E13" s="4"/>
    </row>
    <row r="14" spans="1:6">
      <c r="A14" s="2"/>
      <c r="B14" s="3"/>
      <c r="C14" s="2"/>
      <c r="D14" s="2"/>
      <c r="E14" s="3"/>
    </row>
    <row r="15" spans="1:6">
      <c r="A15" s="2"/>
      <c r="B15" s="2"/>
      <c r="C15" s="2"/>
      <c r="D15" s="2"/>
      <c r="E15" s="2"/>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FB872-624A-024B-82C8-B385FFA6C9CC}">
  <dimension ref="A1:I57"/>
  <sheetViews>
    <sheetView zoomScale="120" zoomScaleNormal="120" workbookViewId="0">
      <selection sqref="A1:F57"/>
    </sheetView>
  </sheetViews>
  <sheetFormatPr baseColWidth="10" defaultRowHeight="13"/>
  <cols>
    <col min="1" max="1" width="16.5" style="8" customWidth="1"/>
    <col min="2" max="3" width="16.6640625" style="8" bestFit="1" customWidth="1"/>
    <col min="4" max="4" width="13.33203125" style="8" bestFit="1" customWidth="1"/>
    <col min="5" max="6" width="10.83203125" style="8"/>
    <col min="7" max="7" width="43" style="8" customWidth="1"/>
    <col min="8" max="9" width="43.33203125" style="8" customWidth="1"/>
    <col min="10" max="16384" width="10.83203125" style="8"/>
  </cols>
  <sheetData>
    <row r="1" spans="1:9" ht="14" thickBot="1">
      <c r="A1" s="11"/>
      <c r="B1" s="12" t="s">
        <v>25</v>
      </c>
      <c r="C1" s="12" t="s">
        <v>24</v>
      </c>
      <c r="D1" s="12" t="s">
        <v>33</v>
      </c>
      <c r="E1" s="12" t="s">
        <v>26</v>
      </c>
      <c r="F1" s="12" t="s">
        <v>27</v>
      </c>
      <c r="G1" s="22"/>
      <c r="H1" s="22"/>
      <c r="I1" s="22" t="s">
        <v>226</v>
      </c>
    </row>
    <row r="2" spans="1:9" ht="14" customHeight="1">
      <c r="A2" s="85" t="s">
        <v>1</v>
      </c>
      <c r="B2" s="13" t="s">
        <v>223</v>
      </c>
      <c r="C2" s="13" t="s">
        <v>223</v>
      </c>
      <c r="D2" s="13" t="s">
        <v>225</v>
      </c>
      <c r="E2" s="14">
        <v>0.38200000000000001</v>
      </c>
      <c r="F2" s="14">
        <v>1.6799999999999999E-2</v>
      </c>
    </row>
    <row r="3" spans="1:9" ht="16" customHeight="1">
      <c r="A3" s="86"/>
      <c r="B3" s="7" t="s">
        <v>223</v>
      </c>
      <c r="C3" s="7" t="s">
        <v>224</v>
      </c>
      <c r="D3" s="7" t="s">
        <v>227</v>
      </c>
      <c r="E3" s="15">
        <v>0.246</v>
      </c>
      <c r="F3" s="15">
        <v>1.17E-2</v>
      </c>
    </row>
    <row r="4" spans="1:9" ht="16" customHeight="1">
      <c r="A4" s="86"/>
      <c r="B4" s="7" t="s">
        <v>224</v>
      </c>
      <c r="C4" s="7" t="s">
        <v>223</v>
      </c>
      <c r="D4" s="7" t="s">
        <v>228</v>
      </c>
      <c r="E4" s="15">
        <v>0.40699999999999997</v>
      </c>
      <c r="F4" s="15">
        <v>1.54E-2</v>
      </c>
    </row>
    <row r="5" spans="1:9" ht="17" customHeight="1" thickBot="1">
      <c r="A5" s="87"/>
      <c r="B5" s="10" t="s">
        <v>224</v>
      </c>
      <c r="C5" s="10" t="s">
        <v>224</v>
      </c>
      <c r="D5" s="10" t="s">
        <v>229</v>
      </c>
      <c r="E5" s="16">
        <v>0.245</v>
      </c>
      <c r="F5" s="16">
        <v>1.29E-2</v>
      </c>
    </row>
    <row r="6" spans="1:9" ht="14" customHeight="1">
      <c r="A6" s="85" t="s">
        <v>2</v>
      </c>
      <c r="B6" s="9" t="s">
        <v>223</v>
      </c>
      <c r="C6" s="9" t="s">
        <v>223</v>
      </c>
      <c r="D6" s="9" t="s">
        <v>225</v>
      </c>
      <c r="E6" s="19">
        <v>0.157</v>
      </c>
      <c r="F6" s="19">
        <v>6.7499999999999999E-3</v>
      </c>
    </row>
    <row r="7" spans="1:9" ht="16" customHeight="1">
      <c r="A7" s="86"/>
      <c r="B7" s="7" t="s">
        <v>223</v>
      </c>
      <c r="C7" s="7" t="s">
        <v>224</v>
      </c>
      <c r="D7" s="7" t="s">
        <v>227</v>
      </c>
      <c r="E7" s="15">
        <v>6.0100000000000001E-2</v>
      </c>
      <c r="F7" s="15">
        <v>2.9399999999999999E-3</v>
      </c>
    </row>
    <row r="8" spans="1:9" ht="16" customHeight="1">
      <c r="A8" s="86"/>
      <c r="B8" s="7" t="s">
        <v>224</v>
      </c>
      <c r="C8" s="7" t="s">
        <v>223</v>
      </c>
      <c r="D8" s="7" t="s">
        <v>228</v>
      </c>
      <c r="E8" s="15">
        <v>0.16400000000000001</v>
      </c>
      <c r="F8" s="15">
        <v>7.5799999999999999E-3</v>
      </c>
    </row>
    <row r="9" spans="1:9" ht="17" customHeight="1" thickBot="1">
      <c r="A9" s="87"/>
      <c r="B9" s="10" t="s">
        <v>224</v>
      </c>
      <c r="C9" s="10" t="s">
        <v>224</v>
      </c>
      <c r="D9" s="10" t="s">
        <v>229</v>
      </c>
      <c r="E9" s="16">
        <v>5.7099999999999998E-2</v>
      </c>
      <c r="F9" s="16">
        <v>3.1800000000000001E-3</v>
      </c>
    </row>
    <row r="10" spans="1:9" ht="14" customHeight="1">
      <c r="A10" s="85" t="s">
        <v>3</v>
      </c>
      <c r="B10" s="9" t="s">
        <v>223</v>
      </c>
      <c r="C10" s="9" t="s">
        <v>223</v>
      </c>
      <c r="D10" s="9" t="s">
        <v>225</v>
      </c>
      <c r="E10" s="19">
        <v>0.53900000000000003</v>
      </c>
      <c r="F10" s="19">
        <v>2.0400000000000001E-2</v>
      </c>
    </row>
    <row r="11" spans="1:9" ht="16" customHeight="1">
      <c r="A11" s="86"/>
      <c r="B11" s="7" t="s">
        <v>223</v>
      </c>
      <c r="C11" s="7" t="s">
        <v>224</v>
      </c>
      <c r="D11" s="7" t="s">
        <v>227</v>
      </c>
      <c r="E11" s="15">
        <v>0.30599999999999999</v>
      </c>
      <c r="F11" s="15">
        <v>1.35E-2</v>
      </c>
    </row>
    <row r="12" spans="1:9" ht="16" customHeight="1">
      <c r="A12" s="86"/>
      <c r="B12" s="7" t="s">
        <v>224</v>
      </c>
      <c r="C12" s="7" t="s">
        <v>223</v>
      </c>
      <c r="D12" s="7" t="s">
        <v>228</v>
      </c>
      <c r="E12" s="15">
        <v>0.57099999999999995</v>
      </c>
      <c r="F12" s="15">
        <v>1.9099999999999999E-2</v>
      </c>
    </row>
    <row r="13" spans="1:9" ht="17" customHeight="1" thickBot="1">
      <c r="A13" s="87"/>
      <c r="B13" s="10" t="s">
        <v>224</v>
      </c>
      <c r="C13" s="10" t="s">
        <v>224</v>
      </c>
      <c r="D13" s="10" t="s">
        <v>229</v>
      </c>
      <c r="E13" s="16">
        <v>0.30199999999999999</v>
      </c>
      <c r="F13" s="16">
        <v>1.52E-2</v>
      </c>
    </row>
    <row r="14" spans="1:9" ht="14" customHeight="1">
      <c r="A14" s="85" t="s">
        <v>21</v>
      </c>
      <c r="B14" s="9" t="s">
        <v>223</v>
      </c>
      <c r="C14" s="9" t="s">
        <v>223</v>
      </c>
      <c r="D14" s="9" t="s">
        <v>225</v>
      </c>
      <c r="E14" s="19">
        <v>3.51</v>
      </c>
      <c r="F14" s="19">
        <v>0.34899999999999998</v>
      </c>
    </row>
    <row r="15" spans="1:9" ht="16" customHeight="1">
      <c r="A15" s="86"/>
      <c r="B15" s="7" t="s">
        <v>223</v>
      </c>
      <c r="C15" s="7" t="s">
        <v>224</v>
      </c>
      <c r="D15" s="7" t="s">
        <v>227</v>
      </c>
      <c r="E15" s="15">
        <v>5.17</v>
      </c>
      <c r="F15" s="15">
        <v>0.35199999999999998</v>
      </c>
    </row>
    <row r="16" spans="1:9" ht="16" customHeight="1">
      <c r="A16" s="86"/>
      <c r="B16" s="7" t="s">
        <v>224</v>
      </c>
      <c r="C16" s="7" t="s">
        <v>223</v>
      </c>
      <c r="D16" s="7" t="s">
        <v>228</v>
      </c>
      <c r="E16" s="15">
        <v>3.8</v>
      </c>
      <c r="F16" s="15">
        <v>0.29399999999999998</v>
      </c>
    </row>
    <row r="17" spans="1:6" ht="17" customHeight="1" thickBot="1">
      <c r="A17" s="87"/>
      <c r="B17" s="10" t="s">
        <v>224</v>
      </c>
      <c r="C17" s="10" t="s">
        <v>224</v>
      </c>
      <c r="D17" s="10" t="s">
        <v>229</v>
      </c>
      <c r="E17" s="16">
        <v>4.9800000000000004</v>
      </c>
      <c r="F17" s="16">
        <v>0.27800000000000002</v>
      </c>
    </row>
    <row r="18" spans="1:6" ht="14" customHeight="1">
      <c r="A18" s="85" t="s">
        <v>4</v>
      </c>
      <c r="B18" s="9" t="s">
        <v>223</v>
      </c>
      <c r="C18" s="9" t="s">
        <v>223</v>
      </c>
      <c r="D18" s="9" t="s">
        <v>225</v>
      </c>
      <c r="E18" s="19">
        <v>4.91</v>
      </c>
      <c r="F18" s="19">
        <v>0.11</v>
      </c>
    </row>
    <row r="19" spans="1:6" ht="16" customHeight="1">
      <c r="A19" s="86"/>
      <c r="B19" s="7" t="s">
        <v>223</v>
      </c>
      <c r="C19" s="7" t="s">
        <v>224</v>
      </c>
      <c r="D19" s="7" t="s">
        <v>227</v>
      </c>
      <c r="E19" s="15">
        <v>4.72</v>
      </c>
      <c r="F19" s="15">
        <v>0.10199999999999999</v>
      </c>
    </row>
    <row r="20" spans="1:6" ht="16" customHeight="1">
      <c r="A20" s="86"/>
      <c r="B20" s="7" t="s">
        <v>224</v>
      </c>
      <c r="C20" s="7" t="s">
        <v>223</v>
      </c>
      <c r="D20" s="7" t="s">
        <v>228</v>
      </c>
      <c r="E20" s="15">
        <v>5.17</v>
      </c>
      <c r="F20" s="15">
        <v>0.123</v>
      </c>
    </row>
    <row r="21" spans="1:6" ht="17" customHeight="1" thickBot="1">
      <c r="A21" s="87"/>
      <c r="B21" s="10" t="s">
        <v>224</v>
      </c>
      <c r="C21" s="10" t="s">
        <v>224</v>
      </c>
      <c r="D21" s="10" t="s">
        <v>229</v>
      </c>
      <c r="E21" s="16">
        <v>5.16</v>
      </c>
      <c r="F21" s="16">
        <v>0.104</v>
      </c>
    </row>
    <row r="22" spans="1:6" ht="14" customHeight="1">
      <c r="A22" s="85" t="s">
        <v>5</v>
      </c>
      <c r="B22" s="9" t="s">
        <v>223</v>
      </c>
      <c r="C22" s="9" t="s">
        <v>223</v>
      </c>
      <c r="D22" s="9" t="s">
        <v>225</v>
      </c>
      <c r="E22" s="19">
        <v>1.2</v>
      </c>
      <c r="F22" s="19">
        <v>2.7400000000000001E-2</v>
      </c>
    </row>
    <row r="23" spans="1:6" ht="16" customHeight="1">
      <c r="A23" s="86"/>
      <c r="B23" s="7" t="s">
        <v>223</v>
      </c>
      <c r="C23" s="7" t="s">
        <v>224</v>
      </c>
      <c r="D23" s="7" t="s">
        <v>227</v>
      </c>
      <c r="E23" s="15">
        <v>1.04</v>
      </c>
      <c r="F23" s="15">
        <v>2.24E-2</v>
      </c>
    </row>
    <row r="24" spans="1:6" ht="16" customHeight="1">
      <c r="A24" s="86"/>
      <c r="B24" s="7" t="s">
        <v>224</v>
      </c>
      <c r="C24" s="7" t="s">
        <v>223</v>
      </c>
      <c r="D24" s="7" t="s">
        <v>228</v>
      </c>
      <c r="E24" s="15">
        <v>1.24</v>
      </c>
      <c r="F24" s="15">
        <v>3.3000000000000002E-2</v>
      </c>
    </row>
    <row r="25" spans="1:6" ht="17" customHeight="1" thickBot="1">
      <c r="A25" s="87"/>
      <c r="B25" s="10" t="s">
        <v>224</v>
      </c>
      <c r="C25" s="10" t="s">
        <v>224</v>
      </c>
      <c r="D25" s="10" t="s">
        <v>229</v>
      </c>
      <c r="E25" s="16">
        <v>1.08</v>
      </c>
      <c r="F25" s="16">
        <v>2.1600000000000001E-2</v>
      </c>
    </row>
    <row r="26" spans="1:6" ht="14" customHeight="1">
      <c r="A26" s="85" t="s">
        <v>6</v>
      </c>
      <c r="B26" s="9" t="s">
        <v>223</v>
      </c>
      <c r="C26" s="9" t="s">
        <v>223</v>
      </c>
      <c r="D26" s="9" t="s">
        <v>225</v>
      </c>
      <c r="E26" s="39">
        <v>109.11</v>
      </c>
      <c r="F26" s="19">
        <v>2.11</v>
      </c>
    </row>
    <row r="27" spans="1:6" ht="16" customHeight="1">
      <c r="A27" s="86"/>
      <c r="B27" s="7" t="s">
        <v>223</v>
      </c>
      <c r="C27" s="7" t="s">
        <v>224</v>
      </c>
      <c r="D27" s="7" t="s">
        <v>227</v>
      </c>
      <c r="E27" s="17">
        <v>115.4</v>
      </c>
      <c r="F27" s="15">
        <v>3.71</v>
      </c>
    </row>
    <row r="28" spans="1:6" ht="16" customHeight="1">
      <c r="A28" s="86"/>
      <c r="B28" s="7" t="s">
        <v>224</v>
      </c>
      <c r="C28" s="7" t="s">
        <v>223</v>
      </c>
      <c r="D28" s="7" t="s">
        <v>228</v>
      </c>
      <c r="E28" s="17">
        <v>106.37</v>
      </c>
      <c r="F28" s="15">
        <v>2.12</v>
      </c>
    </row>
    <row r="29" spans="1:6" ht="17" customHeight="1" thickBot="1">
      <c r="A29" s="87"/>
      <c r="B29" s="10" t="s">
        <v>224</v>
      </c>
      <c r="C29" s="10" t="s">
        <v>224</v>
      </c>
      <c r="D29" s="10" t="s">
        <v>229</v>
      </c>
      <c r="E29" s="16" t="s">
        <v>32</v>
      </c>
      <c r="F29" s="16">
        <v>3.04</v>
      </c>
    </row>
    <row r="30" spans="1:6" ht="14" customHeight="1">
      <c r="A30" s="85" t="s">
        <v>7</v>
      </c>
      <c r="B30" s="9" t="s">
        <v>223</v>
      </c>
      <c r="C30" s="9" t="s">
        <v>223</v>
      </c>
      <c r="D30" s="9" t="s">
        <v>225</v>
      </c>
      <c r="E30" s="19">
        <v>0.372</v>
      </c>
      <c r="F30" s="19">
        <v>7.9299999999999995E-3</v>
      </c>
    </row>
    <row r="31" spans="1:6" ht="16" customHeight="1">
      <c r="A31" s="86"/>
      <c r="B31" s="7" t="s">
        <v>223</v>
      </c>
      <c r="C31" s="7" t="s">
        <v>224</v>
      </c>
      <c r="D31" s="7" t="s">
        <v>227</v>
      </c>
      <c r="E31" s="15">
        <v>0.44500000000000001</v>
      </c>
      <c r="F31" s="15">
        <v>2.0799999999999999E-2</v>
      </c>
    </row>
    <row r="32" spans="1:6" ht="16" customHeight="1">
      <c r="A32" s="86"/>
      <c r="B32" s="7" t="s">
        <v>224</v>
      </c>
      <c r="C32" s="7" t="s">
        <v>223</v>
      </c>
      <c r="D32" s="7" t="s">
        <v>228</v>
      </c>
      <c r="E32" s="15">
        <v>0.35899999999999999</v>
      </c>
      <c r="F32" s="15">
        <v>1.0200000000000001E-2</v>
      </c>
    </row>
    <row r="33" spans="1:7" ht="17" customHeight="1" thickBot="1">
      <c r="A33" s="87"/>
      <c r="B33" s="10" t="s">
        <v>224</v>
      </c>
      <c r="C33" s="10" t="s">
        <v>224</v>
      </c>
      <c r="D33" s="10" t="s">
        <v>229</v>
      </c>
      <c r="E33" s="16">
        <v>0.4</v>
      </c>
      <c r="F33" s="16">
        <v>1.8499999999999999E-2</v>
      </c>
    </row>
    <row r="34" spans="1:7" ht="14" customHeight="1">
      <c r="A34" s="85" t="s">
        <v>37</v>
      </c>
      <c r="B34" s="9" t="s">
        <v>223</v>
      </c>
      <c r="C34" s="9" t="s">
        <v>223</v>
      </c>
      <c r="D34" s="9" t="s">
        <v>225</v>
      </c>
      <c r="E34" s="19">
        <f>1-0.839</f>
        <v>0.16100000000000003</v>
      </c>
      <c r="F34" s="19">
        <v>2.0199999999999999E-2</v>
      </c>
    </row>
    <row r="35" spans="1:7" ht="16" customHeight="1">
      <c r="A35" s="86"/>
      <c r="B35" s="7" t="s">
        <v>223</v>
      </c>
      <c r="C35" s="7" t="s">
        <v>224</v>
      </c>
      <c r="D35" s="7" t="s">
        <v>227</v>
      </c>
      <c r="E35" s="15">
        <f>1-0.88</f>
        <v>0.12</v>
      </c>
      <c r="F35" s="15">
        <v>2.0199999999999999E-2</v>
      </c>
    </row>
    <row r="36" spans="1:7" ht="16" customHeight="1">
      <c r="A36" s="86"/>
      <c r="B36" s="7" t="s">
        <v>224</v>
      </c>
      <c r="C36" s="7" t="s">
        <v>223</v>
      </c>
      <c r="D36" s="7" t="s">
        <v>228</v>
      </c>
      <c r="E36" s="15">
        <f>1-0.801</f>
        <v>0.19899999999999995</v>
      </c>
      <c r="F36" s="15">
        <v>2.29E-2</v>
      </c>
    </row>
    <row r="37" spans="1:7" ht="17" customHeight="1" thickBot="1">
      <c r="A37" s="88"/>
      <c r="B37" s="10" t="s">
        <v>224</v>
      </c>
      <c r="C37" s="10" t="s">
        <v>224</v>
      </c>
      <c r="D37" s="10" t="s">
        <v>229</v>
      </c>
      <c r="E37" s="16">
        <f>1-0.871</f>
        <v>0.129</v>
      </c>
      <c r="F37" s="16">
        <v>2.1600000000000001E-2</v>
      </c>
    </row>
    <row r="38" spans="1:7" ht="17" customHeight="1">
      <c r="A38" s="82" t="s">
        <v>36</v>
      </c>
      <c r="B38" s="9" t="s">
        <v>223</v>
      </c>
      <c r="C38" s="9" t="s">
        <v>223</v>
      </c>
      <c r="D38" s="9" t="s">
        <v>225</v>
      </c>
      <c r="E38" s="19">
        <v>0.215</v>
      </c>
      <c r="F38" s="19">
        <v>2.2700000000000001E-2</v>
      </c>
      <c r="G38" s="33"/>
    </row>
    <row r="39" spans="1:7" ht="17" customHeight="1">
      <c r="A39" s="83"/>
      <c r="B39" s="7" t="s">
        <v>223</v>
      </c>
      <c r="C39" s="7" t="s">
        <v>224</v>
      </c>
      <c r="D39" s="7" t="s">
        <v>227</v>
      </c>
      <c r="E39" s="15">
        <v>0.10299999999999999</v>
      </c>
      <c r="F39" s="15">
        <v>1.89E-2</v>
      </c>
      <c r="G39" s="33"/>
    </row>
    <row r="40" spans="1:7" ht="17" customHeight="1">
      <c r="A40" s="83"/>
      <c r="B40" s="7" t="s">
        <v>224</v>
      </c>
      <c r="C40" s="7" t="s">
        <v>223</v>
      </c>
      <c r="D40" s="7" t="s">
        <v>228</v>
      </c>
      <c r="E40" s="15">
        <v>0.29299999999999998</v>
      </c>
      <c r="F40" s="15">
        <v>2.5999999999999999E-2</v>
      </c>
    </row>
    <row r="41" spans="1:7" ht="17" customHeight="1" thickBot="1">
      <c r="A41" s="84"/>
      <c r="B41" s="10" t="s">
        <v>224</v>
      </c>
      <c r="C41" s="10" t="s">
        <v>224</v>
      </c>
      <c r="D41" s="10" t="s">
        <v>229</v>
      </c>
      <c r="E41" s="16">
        <v>0.17399999999999999</v>
      </c>
      <c r="F41" s="16">
        <v>2.4400000000000002E-2</v>
      </c>
    </row>
    <row r="42" spans="1:7">
      <c r="A42" s="89" t="s">
        <v>8</v>
      </c>
      <c r="B42" s="9" t="s">
        <v>223</v>
      </c>
      <c r="C42" s="9" t="s">
        <v>223</v>
      </c>
      <c r="D42" s="9" t="s">
        <v>225</v>
      </c>
      <c r="E42" s="19">
        <v>3.6900000000000002E-2</v>
      </c>
      <c r="F42" s="19">
        <v>3.5799999999999998E-3</v>
      </c>
    </row>
    <row r="43" spans="1:7" ht="16" customHeight="1">
      <c r="A43" s="90"/>
      <c r="B43" s="7" t="s">
        <v>223</v>
      </c>
      <c r="C43" s="7" t="s">
        <v>224</v>
      </c>
      <c r="D43" s="7" t="s">
        <v>227</v>
      </c>
      <c r="E43" s="15">
        <v>2.0799999999999999E-2</v>
      </c>
      <c r="F43" s="15">
        <v>3.4399999999999999E-3</v>
      </c>
    </row>
    <row r="44" spans="1:7" ht="16" customHeight="1">
      <c r="A44" s="90"/>
      <c r="B44" s="7" t="s">
        <v>224</v>
      </c>
      <c r="C44" s="7" t="s">
        <v>223</v>
      </c>
      <c r="D44" s="7" t="s">
        <v>228</v>
      </c>
      <c r="E44" s="15">
        <v>4.5900000000000003E-2</v>
      </c>
      <c r="F44" s="15">
        <v>3.9399999999999999E-3</v>
      </c>
    </row>
    <row r="45" spans="1:7" ht="17" customHeight="1" thickBot="1">
      <c r="A45" s="91"/>
      <c r="B45" s="10" t="s">
        <v>224</v>
      </c>
      <c r="C45" s="10" t="s">
        <v>224</v>
      </c>
      <c r="D45" s="10" t="s">
        <v>229</v>
      </c>
      <c r="E45" s="16">
        <v>1.0800000000000001E-2</v>
      </c>
      <c r="F45" s="16">
        <v>2.0899999999999998E-3</v>
      </c>
    </row>
    <row r="46" spans="1:7" ht="14" customHeight="1">
      <c r="A46" s="79" t="s">
        <v>11</v>
      </c>
      <c r="B46" s="9" t="s">
        <v>223</v>
      </c>
      <c r="C46" s="9" t="s">
        <v>223</v>
      </c>
      <c r="D46" s="9" t="s">
        <v>225</v>
      </c>
      <c r="E46" s="21">
        <v>46.752000000000002</v>
      </c>
      <c r="F46" s="21">
        <v>4.4109999999999996</v>
      </c>
    </row>
    <row r="47" spans="1:7" ht="16" customHeight="1">
      <c r="A47" s="80"/>
      <c r="B47" s="7" t="s">
        <v>223</v>
      </c>
      <c r="C47" s="7" t="s">
        <v>224</v>
      </c>
      <c r="D47" s="7" t="s">
        <v>227</v>
      </c>
      <c r="E47" s="18">
        <v>28.289000000000001</v>
      </c>
      <c r="F47" s="18">
        <v>4.6929999999999996</v>
      </c>
    </row>
    <row r="48" spans="1:7" ht="16" customHeight="1">
      <c r="A48" s="80"/>
      <c r="B48" s="7" t="s">
        <v>224</v>
      </c>
      <c r="C48" s="7" t="s">
        <v>223</v>
      </c>
      <c r="D48" s="7" t="s">
        <v>228</v>
      </c>
      <c r="E48" s="18">
        <v>55.892000000000003</v>
      </c>
      <c r="F48" s="18">
        <v>4.5449999999999999</v>
      </c>
    </row>
    <row r="49" spans="1:6" ht="17" customHeight="1" thickBot="1">
      <c r="A49" s="81"/>
      <c r="B49" s="10" t="s">
        <v>224</v>
      </c>
      <c r="C49" s="10" t="s">
        <v>224</v>
      </c>
      <c r="D49" s="10" t="s">
        <v>229</v>
      </c>
      <c r="E49" s="20">
        <v>15.827</v>
      </c>
      <c r="F49" s="20">
        <v>2.883</v>
      </c>
    </row>
    <row r="50" spans="1:6" ht="16" customHeight="1">
      <c r="A50" s="79" t="s">
        <v>12</v>
      </c>
      <c r="B50" s="9" t="s">
        <v>223</v>
      </c>
      <c r="C50" s="9" t="s">
        <v>223</v>
      </c>
      <c r="D50" s="9" t="s">
        <v>225</v>
      </c>
      <c r="E50" s="19">
        <v>2.38</v>
      </c>
      <c r="F50" s="19">
        <v>0.189</v>
      </c>
    </row>
    <row r="51" spans="1:6" ht="16" customHeight="1">
      <c r="A51" s="80"/>
      <c r="B51" s="7" t="s">
        <v>223</v>
      </c>
      <c r="C51" s="7" t="s">
        <v>224</v>
      </c>
      <c r="D51" s="7" t="s">
        <v>227</v>
      </c>
      <c r="E51" s="15">
        <v>1.7</v>
      </c>
      <c r="F51" s="15">
        <v>0.158</v>
      </c>
    </row>
    <row r="52" spans="1:6" ht="16" customHeight="1">
      <c r="A52" s="80"/>
      <c r="B52" s="7" t="s">
        <v>224</v>
      </c>
      <c r="C52" s="7" t="s">
        <v>223</v>
      </c>
      <c r="D52" s="7" t="s">
        <v>228</v>
      </c>
      <c r="E52" s="15">
        <v>2.59</v>
      </c>
      <c r="F52" s="15">
        <v>0.17699999999999999</v>
      </c>
    </row>
    <row r="53" spans="1:6" ht="17" customHeight="1" thickBot="1">
      <c r="A53" s="81"/>
      <c r="B53" s="10" t="s">
        <v>224</v>
      </c>
      <c r="C53" s="10" t="s">
        <v>224</v>
      </c>
      <c r="D53" s="10" t="s">
        <v>229</v>
      </c>
      <c r="E53" s="16">
        <v>1.63</v>
      </c>
      <c r="F53" s="16">
        <v>0.13700000000000001</v>
      </c>
    </row>
    <row r="54" spans="1:6" ht="14" customHeight="1">
      <c r="A54" s="79" t="s">
        <v>13</v>
      </c>
      <c r="B54" s="9" t="s">
        <v>223</v>
      </c>
      <c r="C54" s="9" t="s">
        <v>223</v>
      </c>
      <c r="D54" s="9" t="s">
        <v>225</v>
      </c>
      <c r="E54" s="21">
        <v>41.112000000000002</v>
      </c>
      <c r="F54" s="21">
        <v>1.3779999999999999</v>
      </c>
    </row>
    <row r="55" spans="1:6" ht="16" customHeight="1">
      <c r="A55" s="80"/>
      <c r="B55" s="7" t="s">
        <v>223</v>
      </c>
      <c r="C55" s="7" t="s">
        <v>224</v>
      </c>
      <c r="D55" s="7" t="s">
        <v>227</v>
      </c>
      <c r="E55" s="15">
        <v>42.628999999999998</v>
      </c>
      <c r="F55" s="18">
        <v>2.004</v>
      </c>
    </row>
    <row r="56" spans="1:6" ht="16" customHeight="1">
      <c r="A56" s="80"/>
      <c r="B56" s="7" t="s">
        <v>224</v>
      </c>
      <c r="C56" s="7" t="s">
        <v>223</v>
      </c>
      <c r="D56" s="7" t="s">
        <v>228</v>
      </c>
      <c r="E56" s="18">
        <v>40.210999999999999</v>
      </c>
      <c r="F56" s="18">
        <v>1.042</v>
      </c>
    </row>
    <row r="57" spans="1:6" ht="17" customHeight="1" thickBot="1">
      <c r="A57" s="81"/>
      <c r="B57" s="10" t="s">
        <v>224</v>
      </c>
      <c r="C57" s="10" t="s">
        <v>224</v>
      </c>
      <c r="D57" s="10" t="s">
        <v>229</v>
      </c>
      <c r="E57" s="20">
        <v>45.094999999999999</v>
      </c>
      <c r="F57" s="20">
        <v>1.659</v>
      </c>
    </row>
  </sheetData>
  <mergeCells count="14">
    <mergeCell ref="A22:A25"/>
    <mergeCell ref="A2:A5"/>
    <mergeCell ref="A6:A9"/>
    <mergeCell ref="A10:A13"/>
    <mergeCell ref="A14:A17"/>
    <mergeCell ref="A18:A21"/>
    <mergeCell ref="A54:A57"/>
    <mergeCell ref="A38:A41"/>
    <mergeCell ref="A26:A29"/>
    <mergeCell ref="A30:A33"/>
    <mergeCell ref="A34:A37"/>
    <mergeCell ref="A42:A45"/>
    <mergeCell ref="A46:A49"/>
    <mergeCell ref="A50:A53"/>
  </mergeCell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0875D-6467-BA49-A1EE-D8E29EBB8C37}">
  <dimension ref="A1:AL353"/>
  <sheetViews>
    <sheetView tabSelected="1" topLeftCell="A329" zoomScale="120" zoomScaleNormal="120" workbookViewId="0">
      <selection activeCell="E353" sqref="A1:E353"/>
    </sheetView>
  </sheetViews>
  <sheetFormatPr baseColWidth="10" defaultRowHeight="13"/>
  <cols>
    <col min="1" max="1" width="24" style="8" bestFit="1" customWidth="1"/>
    <col min="2" max="2" width="16.33203125" style="8" bestFit="1" customWidth="1"/>
    <col min="3" max="12" width="10.83203125" style="8"/>
    <col min="13" max="13" width="23.33203125" style="8" bestFit="1" customWidth="1"/>
    <col min="14" max="30" width="10.83203125" style="8"/>
    <col min="31" max="31" width="11.33203125" style="8" bestFit="1" customWidth="1"/>
    <col min="32" max="36" width="10.83203125" style="8"/>
    <col min="37" max="37" width="12.1640625" style="8" bestFit="1" customWidth="1"/>
    <col min="38" max="16384" width="10.83203125" style="8"/>
  </cols>
  <sheetData>
    <row r="1" spans="1:38" s="22" customFormat="1">
      <c r="A1" s="23" t="s">
        <v>0</v>
      </c>
      <c r="B1" s="52" t="s">
        <v>89</v>
      </c>
      <c r="C1" s="29" t="s">
        <v>33</v>
      </c>
      <c r="D1" s="29" t="s">
        <v>26</v>
      </c>
      <c r="E1" s="30" t="s">
        <v>27</v>
      </c>
    </row>
    <row r="2" spans="1:38">
      <c r="A2" s="95" t="s">
        <v>2</v>
      </c>
      <c r="B2" s="92">
        <v>9.8097434965383901</v>
      </c>
      <c r="C2" s="8" t="s">
        <v>225</v>
      </c>
      <c r="D2" s="8">
        <v>0.27400000000000002</v>
      </c>
      <c r="E2" s="26">
        <v>2.7E-2</v>
      </c>
      <c r="G2" s="31" t="s">
        <v>230</v>
      </c>
      <c r="H2" s="32"/>
      <c r="M2" s="31"/>
      <c r="N2" s="32"/>
      <c r="S2" s="31"/>
      <c r="T2" s="32"/>
      <c r="Y2" s="31"/>
      <c r="Z2" s="32"/>
      <c r="AE2" s="31"/>
      <c r="AF2" s="32"/>
      <c r="AK2" s="31"/>
      <c r="AL2" s="32"/>
    </row>
    <row r="3" spans="1:38">
      <c r="A3" s="95"/>
      <c r="B3" s="93"/>
      <c r="C3" s="8" t="s">
        <v>227</v>
      </c>
      <c r="D3" s="8">
        <v>9.9000000000000005E-2</v>
      </c>
      <c r="E3" s="26">
        <v>1.4E-2</v>
      </c>
      <c r="G3" s="31"/>
      <c r="H3" s="32"/>
      <c r="M3" s="31"/>
      <c r="N3" s="32"/>
      <c r="S3" s="31"/>
      <c r="T3" s="32"/>
      <c r="Y3" s="31"/>
      <c r="Z3" s="32"/>
      <c r="AE3" s="31"/>
      <c r="AF3" s="32"/>
      <c r="AK3" s="31"/>
      <c r="AL3" s="32"/>
    </row>
    <row r="4" spans="1:38">
      <c r="A4" s="95"/>
      <c r="B4" s="93"/>
      <c r="C4" s="8" t="s">
        <v>228</v>
      </c>
      <c r="D4" s="8">
        <v>0.21199999999999999</v>
      </c>
      <c r="E4" s="26">
        <v>2.7E-2</v>
      </c>
      <c r="G4" s="31"/>
      <c r="H4" s="32"/>
      <c r="M4" s="31"/>
      <c r="N4" s="32"/>
      <c r="S4" s="31"/>
      <c r="T4" s="32"/>
      <c r="Y4" s="31"/>
      <c r="Z4" s="32"/>
      <c r="AE4" s="31"/>
      <c r="AF4" s="32"/>
      <c r="AK4" s="31"/>
      <c r="AL4" s="32"/>
    </row>
    <row r="5" spans="1:38">
      <c r="A5" s="95"/>
      <c r="B5" s="94"/>
      <c r="C5" s="27" t="s">
        <v>229</v>
      </c>
      <c r="D5" s="27">
        <v>9.5000000000000001E-2</v>
      </c>
      <c r="E5" s="28">
        <v>2.1000000000000001E-2</v>
      </c>
      <c r="G5" s="31"/>
      <c r="H5" s="32"/>
      <c r="M5" s="31"/>
      <c r="N5" s="32"/>
      <c r="S5" s="31"/>
      <c r="T5" s="32"/>
      <c r="Y5" s="31"/>
      <c r="Z5" s="32"/>
      <c r="AE5" s="31"/>
      <c r="AF5" s="32"/>
      <c r="AK5" s="31"/>
      <c r="AL5" s="32"/>
    </row>
    <row r="6" spans="1:38">
      <c r="A6" s="95"/>
      <c r="B6" s="92">
        <v>13.289870274379901</v>
      </c>
      <c r="C6" s="24" t="s">
        <v>225</v>
      </c>
      <c r="D6" s="24">
        <v>0.14399999999999999</v>
      </c>
      <c r="E6" s="25">
        <v>1.7999999999999999E-2</v>
      </c>
      <c r="G6" s="31"/>
      <c r="H6" s="32"/>
      <c r="M6" s="31"/>
      <c r="N6" s="32"/>
      <c r="S6" s="31"/>
      <c r="T6" s="32"/>
      <c r="Y6" s="31"/>
      <c r="Z6" s="32"/>
      <c r="AE6" s="31"/>
      <c r="AF6" s="32"/>
      <c r="AK6" s="31"/>
      <c r="AL6" s="32"/>
    </row>
    <row r="7" spans="1:38">
      <c r="A7" s="95"/>
      <c r="B7" s="93"/>
      <c r="C7" s="8" t="s">
        <v>227</v>
      </c>
      <c r="D7" s="8">
        <v>8.5000000000000006E-2</v>
      </c>
      <c r="E7" s="26">
        <v>1.4E-2</v>
      </c>
      <c r="G7" s="31"/>
      <c r="H7" s="32"/>
      <c r="M7" s="31"/>
      <c r="N7" s="32"/>
      <c r="S7" s="31"/>
      <c r="T7" s="32"/>
      <c r="Y7" s="31"/>
      <c r="Z7" s="32"/>
      <c r="AE7" s="31"/>
      <c r="AF7" s="32"/>
      <c r="AK7" s="31"/>
      <c r="AL7" s="32"/>
    </row>
    <row r="8" spans="1:38">
      <c r="A8" s="95"/>
      <c r="B8" s="93"/>
      <c r="C8" s="8" t="s">
        <v>228</v>
      </c>
      <c r="D8" s="8">
        <v>0.112</v>
      </c>
      <c r="E8" s="37">
        <v>0.01</v>
      </c>
      <c r="G8" s="31"/>
      <c r="H8" s="32"/>
      <c r="M8" s="31"/>
      <c r="N8" s="32"/>
      <c r="S8" s="31"/>
      <c r="T8" s="32"/>
      <c r="Y8" s="31"/>
      <c r="Z8" s="32"/>
      <c r="AE8" s="31"/>
      <c r="AF8" s="32"/>
      <c r="AK8" s="31"/>
      <c r="AL8" s="32"/>
    </row>
    <row r="9" spans="1:38">
      <c r="A9" s="95"/>
      <c r="B9" s="94"/>
      <c r="C9" s="27" t="s">
        <v>229</v>
      </c>
      <c r="D9" s="27">
        <v>1.9E-2</v>
      </c>
      <c r="E9" s="28" t="s">
        <v>34</v>
      </c>
      <c r="G9" s="31"/>
      <c r="H9" s="32"/>
      <c r="M9" s="31"/>
      <c r="N9" s="32"/>
      <c r="S9" s="31"/>
      <c r="T9" s="32"/>
      <c r="Y9" s="31"/>
      <c r="Z9" s="32"/>
      <c r="AE9" s="31"/>
      <c r="AF9" s="32"/>
      <c r="AK9" s="31"/>
      <c r="AL9" s="32"/>
    </row>
    <row r="10" spans="1:38">
      <c r="A10" s="95"/>
      <c r="B10" s="92">
        <v>10.670492424171201</v>
      </c>
      <c r="C10" s="24" t="s">
        <v>225</v>
      </c>
      <c r="D10" s="24">
        <v>0.182</v>
      </c>
      <c r="E10" s="25">
        <v>0.02</v>
      </c>
      <c r="G10" s="31"/>
      <c r="H10" s="32"/>
      <c r="M10" s="31"/>
      <c r="N10" s="32"/>
      <c r="S10" s="31"/>
      <c r="T10" s="32"/>
      <c r="Y10" s="31"/>
      <c r="Z10" s="32"/>
      <c r="AE10" s="31"/>
      <c r="AF10" s="32"/>
      <c r="AK10" s="31"/>
      <c r="AL10" s="32"/>
    </row>
    <row r="11" spans="1:38">
      <c r="A11" s="95"/>
      <c r="B11" s="93"/>
      <c r="C11" s="8" t="s">
        <v>227</v>
      </c>
      <c r="D11" s="8">
        <v>5.0999999999999997E-2</v>
      </c>
      <c r="E11" s="26">
        <v>7.0000000000000001E-3</v>
      </c>
      <c r="G11" s="31"/>
      <c r="H11" s="32"/>
      <c r="M11" s="31"/>
      <c r="N11" s="32"/>
      <c r="S11" s="31"/>
      <c r="T11" s="32"/>
      <c r="Y11" s="31"/>
      <c r="Z11" s="32"/>
      <c r="AE11" s="31"/>
      <c r="AF11" s="32"/>
      <c r="AK11" s="31"/>
      <c r="AL11" s="32"/>
    </row>
    <row r="12" spans="1:38">
      <c r="A12" s="95"/>
      <c r="B12" s="93"/>
      <c r="C12" s="8" t="s">
        <v>228</v>
      </c>
      <c r="D12" s="8">
        <v>0.17699999999999999</v>
      </c>
      <c r="E12" s="26">
        <v>1.6E-2</v>
      </c>
      <c r="G12" s="31"/>
      <c r="H12" s="32"/>
      <c r="M12" s="31"/>
      <c r="N12" s="32"/>
      <c r="S12" s="31"/>
      <c r="T12" s="32"/>
      <c r="Y12" s="31"/>
      <c r="Z12" s="32"/>
      <c r="AE12" s="31"/>
      <c r="AF12" s="32"/>
      <c r="AK12" s="31"/>
      <c r="AL12" s="32"/>
    </row>
    <row r="13" spans="1:38">
      <c r="A13" s="95"/>
      <c r="B13" s="94"/>
      <c r="C13" s="27" t="s">
        <v>229</v>
      </c>
      <c r="D13" s="27">
        <v>5.8999999999999997E-2</v>
      </c>
      <c r="E13" s="28">
        <v>8.0000000000000002E-3</v>
      </c>
      <c r="G13" s="31"/>
      <c r="H13" s="32"/>
      <c r="M13" s="31"/>
      <c r="N13" s="32"/>
      <c r="S13" s="31"/>
      <c r="T13" s="32"/>
      <c r="Y13" s="31"/>
      <c r="Z13" s="32"/>
      <c r="AE13" s="31"/>
      <c r="AF13" s="32"/>
      <c r="AK13" s="31"/>
      <c r="AL13" s="32"/>
    </row>
    <row r="14" spans="1:38">
      <c r="A14" s="95"/>
      <c r="B14" s="92">
        <v>12.0388784868085</v>
      </c>
      <c r="C14" s="24" t="s">
        <v>225</v>
      </c>
      <c r="D14" s="24">
        <v>0.156</v>
      </c>
      <c r="E14" s="25">
        <v>1.7000000000000001E-2</v>
      </c>
      <c r="G14" s="31"/>
      <c r="H14" s="32"/>
      <c r="M14" s="31"/>
      <c r="N14" s="32"/>
      <c r="S14" s="31"/>
      <c r="T14" s="32"/>
      <c r="Y14" s="31"/>
      <c r="Z14" s="32"/>
      <c r="AE14" s="31"/>
      <c r="AF14" s="32"/>
      <c r="AK14" s="31"/>
      <c r="AL14" s="32"/>
    </row>
    <row r="15" spans="1:38">
      <c r="A15" s="95"/>
      <c r="B15" s="93"/>
      <c r="C15" s="8" t="s">
        <v>227</v>
      </c>
      <c r="D15" s="8">
        <v>6.7000000000000004E-2</v>
      </c>
      <c r="E15" s="26">
        <v>8.0000000000000002E-3</v>
      </c>
      <c r="G15" s="31"/>
      <c r="H15" s="32"/>
      <c r="M15" s="31"/>
      <c r="N15" s="32"/>
      <c r="S15" s="31"/>
      <c r="T15" s="32"/>
      <c r="Y15" s="31"/>
      <c r="Z15" s="32"/>
      <c r="AE15" s="31"/>
      <c r="AF15" s="32"/>
      <c r="AK15" s="31"/>
      <c r="AL15" s="32"/>
    </row>
    <row r="16" spans="1:38">
      <c r="A16" s="95"/>
      <c r="B16" s="93"/>
      <c r="C16" s="8" t="s">
        <v>228</v>
      </c>
      <c r="D16" s="8">
        <v>0.17199999999999999</v>
      </c>
      <c r="E16" s="26">
        <v>7.0999999999999994E-2</v>
      </c>
      <c r="G16" s="31"/>
      <c r="H16" s="32"/>
      <c r="M16" s="31"/>
      <c r="N16" s="32"/>
      <c r="S16" s="31"/>
      <c r="T16" s="32"/>
      <c r="Y16" s="31"/>
      <c r="Z16" s="32"/>
      <c r="AE16" s="31"/>
      <c r="AF16" s="32"/>
      <c r="AK16" s="31"/>
      <c r="AL16" s="32"/>
    </row>
    <row r="17" spans="1:38">
      <c r="A17" s="95"/>
      <c r="B17" s="94"/>
      <c r="C17" s="27" t="s">
        <v>229</v>
      </c>
      <c r="D17" s="27">
        <v>4.2999999999999997E-2</v>
      </c>
      <c r="E17" s="28">
        <v>1.4E-2</v>
      </c>
      <c r="G17" s="31"/>
      <c r="H17" s="32"/>
      <c r="M17" s="31"/>
      <c r="N17" s="32"/>
      <c r="S17" s="31"/>
      <c r="T17" s="32"/>
      <c r="Y17" s="31"/>
      <c r="Z17" s="32"/>
      <c r="AE17" s="31"/>
      <c r="AF17" s="32"/>
      <c r="AK17" s="31"/>
      <c r="AL17" s="32"/>
    </row>
    <row r="18" spans="1:38">
      <c r="A18" s="95"/>
      <c r="B18" s="92">
        <v>10.863771875145201</v>
      </c>
      <c r="C18" s="24" t="s">
        <v>225</v>
      </c>
      <c r="D18" s="34">
        <v>0.16</v>
      </c>
      <c r="E18" s="25">
        <v>1.7999999999999999E-2</v>
      </c>
      <c r="G18" s="31"/>
      <c r="H18" s="32"/>
      <c r="M18" s="31"/>
      <c r="N18" s="32"/>
      <c r="S18" s="31"/>
      <c r="T18" s="32"/>
      <c r="Y18" s="31"/>
      <c r="Z18" s="32"/>
      <c r="AE18" s="31"/>
      <c r="AF18" s="32"/>
      <c r="AK18" s="31"/>
      <c r="AL18" s="32"/>
    </row>
    <row r="19" spans="1:38">
      <c r="A19" s="95"/>
      <c r="B19" s="93"/>
      <c r="C19" s="8" t="s">
        <v>227</v>
      </c>
      <c r="D19" s="33">
        <v>0.06</v>
      </c>
      <c r="E19" s="26">
        <v>6.0000000000000001E-3</v>
      </c>
      <c r="G19" s="31"/>
      <c r="H19" s="32"/>
      <c r="M19" s="31"/>
      <c r="N19" s="32"/>
      <c r="S19" s="31"/>
      <c r="T19" s="32"/>
      <c r="Y19" s="31"/>
      <c r="Z19" s="32"/>
      <c r="AE19" s="31"/>
      <c r="AF19" s="32"/>
      <c r="AK19" s="31"/>
      <c r="AL19" s="32"/>
    </row>
    <row r="20" spans="1:38">
      <c r="A20" s="95"/>
      <c r="B20" s="93"/>
      <c r="C20" s="8" t="s">
        <v>228</v>
      </c>
      <c r="D20" s="8">
        <v>0.23599999999999999</v>
      </c>
      <c r="E20" s="26">
        <v>1.7999999999999999E-2</v>
      </c>
      <c r="G20" s="31"/>
      <c r="H20" s="32"/>
      <c r="M20" s="31"/>
      <c r="N20" s="32"/>
      <c r="S20" s="31"/>
      <c r="T20" s="32"/>
      <c r="Y20" s="31"/>
      <c r="Z20" s="32"/>
      <c r="AE20" s="31"/>
      <c r="AF20" s="32"/>
      <c r="AK20" s="31"/>
      <c r="AL20" s="32"/>
    </row>
    <row r="21" spans="1:38">
      <c r="A21" s="95"/>
      <c r="B21" s="94"/>
      <c r="C21" s="27" t="s">
        <v>229</v>
      </c>
      <c r="D21" s="27">
        <v>7.8E-2</v>
      </c>
      <c r="E21" s="38">
        <v>0.01</v>
      </c>
      <c r="G21" s="31"/>
      <c r="H21" s="32"/>
      <c r="M21" s="31"/>
      <c r="N21" s="32"/>
      <c r="S21" s="31"/>
      <c r="T21" s="32"/>
      <c r="Y21" s="31"/>
      <c r="Z21" s="32"/>
      <c r="AE21" s="31"/>
      <c r="AF21" s="32"/>
      <c r="AK21" s="31"/>
      <c r="AL21" s="32"/>
    </row>
    <row r="22" spans="1:38">
      <c r="A22" s="95"/>
      <c r="B22" s="92">
        <v>11.191736578258899</v>
      </c>
      <c r="C22" s="24" t="s">
        <v>225</v>
      </c>
      <c r="D22" s="24">
        <v>0.16800000000000001</v>
      </c>
      <c r="E22" s="25">
        <v>1.4E-2</v>
      </c>
      <c r="G22" s="31"/>
      <c r="H22" s="32"/>
      <c r="M22" s="31"/>
      <c r="N22" s="32"/>
      <c r="S22" s="31"/>
      <c r="T22" s="32"/>
      <c r="Y22" s="31"/>
      <c r="Z22" s="32"/>
      <c r="AE22" s="31"/>
      <c r="AF22" s="32"/>
      <c r="AK22" s="31"/>
      <c r="AL22" s="32"/>
    </row>
    <row r="23" spans="1:38">
      <c r="A23" s="95"/>
      <c r="B23" s="93"/>
      <c r="C23" s="8" t="s">
        <v>227</v>
      </c>
      <c r="D23" s="8">
        <v>4.2000000000000003E-2</v>
      </c>
      <c r="E23" s="26">
        <v>5.0000000000000001E-3</v>
      </c>
      <c r="G23" s="31"/>
      <c r="H23" s="32"/>
      <c r="M23" s="31"/>
      <c r="N23" s="32"/>
      <c r="S23" s="31"/>
      <c r="T23" s="32"/>
      <c r="Y23" s="31"/>
      <c r="Z23" s="32"/>
      <c r="AE23" s="31"/>
      <c r="AF23" s="32"/>
      <c r="AK23" s="31"/>
      <c r="AL23" s="32"/>
    </row>
    <row r="24" spans="1:38">
      <c r="A24" s="95"/>
      <c r="B24" s="93"/>
      <c r="C24" s="8" t="s">
        <v>228</v>
      </c>
      <c r="D24" s="8">
        <v>0.153</v>
      </c>
      <c r="E24" s="26">
        <v>1.7000000000000001E-2</v>
      </c>
      <c r="G24" s="31"/>
      <c r="H24" s="32"/>
      <c r="M24" s="31"/>
      <c r="N24" s="32"/>
      <c r="S24" s="31"/>
      <c r="T24" s="32"/>
      <c r="Y24" s="31"/>
      <c r="Z24" s="32"/>
      <c r="AE24" s="31"/>
      <c r="AF24" s="32"/>
      <c r="AK24" s="31"/>
      <c r="AL24" s="32"/>
    </row>
    <row r="25" spans="1:38">
      <c r="A25" s="95"/>
      <c r="B25" s="94"/>
      <c r="C25" s="27" t="s">
        <v>229</v>
      </c>
      <c r="D25" s="27">
        <v>4.4999999999999998E-2</v>
      </c>
      <c r="E25" s="28">
        <v>5.0000000000000001E-3</v>
      </c>
      <c r="G25" s="31"/>
      <c r="H25" s="32"/>
      <c r="M25" s="31"/>
      <c r="N25" s="32"/>
      <c r="S25" s="31"/>
      <c r="T25" s="32"/>
      <c r="Y25" s="31"/>
      <c r="Z25" s="32"/>
      <c r="AE25" s="31"/>
      <c r="AF25" s="32"/>
      <c r="AK25" s="31"/>
      <c r="AL25" s="32"/>
    </row>
    <row r="26" spans="1:38">
      <c r="A26" s="95"/>
      <c r="B26" s="92">
        <v>9.2257199487345201</v>
      </c>
      <c r="C26" s="24" t="s">
        <v>225</v>
      </c>
      <c r="D26" s="24">
        <v>0.17399999999999999</v>
      </c>
      <c r="E26" s="36">
        <v>0.05</v>
      </c>
      <c r="G26" s="31"/>
      <c r="H26" s="32"/>
      <c r="M26" s="31"/>
      <c r="N26" s="32"/>
      <c r="S26" s="31"/>
      <c r="T26" s="32"/>
      <c r="Y26" s="31"/>
      <c r="Z26" s="32"/>
      <c r="AE26" s="31"/>
      <c r="AF26" s="32"/>
      <c r="AK26" s="31"/>
      <c r="AL26" s="32"/>
    </row>
    <row r="27" spans="1:38">
      <c r="A27" s="95"/>
      <c r="B27" s="93"/>
      <c r="C27" s="8" t="s">
        <v>227</v>
      </c>
      <c r="D27" s="8">
        <v>8.7999999999999995E-2</v>
      </c>
      <c r="E27" s="26">
        <v>1.7000000000000001E-2</v>
      </c>
      <c r="G27" s="31"/>
      <c r="H27" s="32"/>
      <c r="M27" s="31"/>
      <c r="N27" s="32"/>
      <c r="S27" s="31"/>
      <c r="T27" s="32"/>
      <c r="Y27" s="31"/>
      <c r="Z27" s="32"/>
      <c r="AE27" s="31"/>
      <c r="AF27" s="32"/>
      <c r="AK27" s="31"/>
      <c r="AL27" s="32"/>
    </row>
    <row r="28" spans="1:38">
      <c r="A28" s="95"/>
      <c r="B28" s="93"/>
      <c r="C28" s="8" t="s">
        <v>228</v>
      </c>
      <c r="D28" s="8">
        <v>0.18099999999999999</v>
      </c>
      <c r="E28" s="26">
        <v>1.7000000000000001E-2</v>
      </c>
      <c r="G28" s="31"/>
      <c r="H28" s="32"/>
      <c r="M28" s="31"/>
      <c r="N28" s="32"/>
      <c r="S28" s="31"/>
      <c r="T28" s="32"/>
      <c r="Y28" s="31"/>
      <c r="Z28" s="32"/>
      <c r="AE28" s="31"/>
      <c r="AF28" s="32"/>
      <c r="AK28" s="31"/>
      <c r="AL28" s="32"/>
    </row>
    <row r="29" spans="1:38">
      <c r="A29" s="95"/>
      <c r="B29" s="94"/>
      <c r="C29" s="27" t="s">
        <v>229</v>
      </c>
      <c r="D29" s="27">
        <v>6.5000000000000002E-2</v>
      </c>
      <c r="E29" s="28">
        <v>1.0999999999999999E-2</v>
      </c>
      <c r="G29" s="31"/>
      <c r="H29" s="32"/>
      <c r="M29" s="31"/>
      <c r="N29" s="32"/>
      <c r="S29" s="31"/>
      <c r="T29" s="32"/>
      <c r="Y29" s="31"/>
      <c r="Z29" s="32"/>
      <c r="AE29" s="31"/>
      <c r="AF29" s="32"/>
      <c r="AK29" s="31"/>
      <c r="AL29" s="32"/>
    </row>
    <row r="30" spans="1:38">
      <c r="A30" s="95"/>
      <c r="B30" s="92">
        <v>8.6708552293104102</v>
      </c>
      <c r="C30" s="24" t="s">
        <v>225</v>
      </c>
      <c r="D30" s="24">
        <v>9.5000000000000001E-2</v>
      </c>
      <c r="E30" s="25">
        <v>1.2E-2</v>
      </c>
      <c r="G30" s="31"/>
      <c r="H30" s="32"/>
      <c r="M30" s="31"/>
      <c r="N30" s="32"/>
      <c r="S30" s="31"/>
      <c r="T30" s="32"/>
      <c r="Y30" s="31"/>
      <c r="Z30" s="32"/>
      <c r="AE30" s="31"/>
      <c r="AF30" s="32"/>
      <c r="AK30" s="31"/>
      <c r="AL30" s="32"/>
    </row>
    <row r="31" spans="1:38">
      <c r="A31" s="95"/>
      <c r="B31" s="93"/>
      <c r="C31" s="8" t="s">
        <v>227</v>
      </c>
      <c r="D31" s="8">
        <v>5.8999999999999997E-2</v>
      </c>
      <c r="E31" s="26">
        <v>6.0000000000000001E-3</v>
      </c>
      <c r="G31" s="31"/>
      <c r="H31" s="32"/>
      <c r="M31" s="31"/>
      <c r="N31" s="32"/>
      <c r="S31" s="31"/>
      <c r="T31" s="32"/>
      <c r="Y31" s="31"/>
      <c r="Z31" s="32"/>
      <c r="AE31" s="31"/>
      <c r="AF31" s="32"/>
      <c r="AK31" s="31"/>
      <c r="AL31" s="32"/>
    </row>
    <row r="32" spans="1:38">
      <c r="A32" s="95"/>
      <c r="B32" s="93"/>
      <c r="C32" s="8" t="s">
        <v>228</v>
      </c>
      <c r="D32" s="8">
        <v>8.7999999999999995E-2</v>
      </c>
      <c r="E32" s="26">
        <v>8.0000000000000002E-3</v>
      </c>
      <c r="G32" s="31"/>
      <c r="H32" s="32"/>
      <c r="M32" s="31"/>
      <c r="N32" s="32"/>
      <c r="S32" s="31"/>
      <c r="T32" s="32"/>
      <c r="Y32" s="31"/>
      <c r="Z32" s="32"/>
      <c r="AE32" s="31"/>
      <c r="AF32" s="32"/>
      <c r="AK32" s="31"/>
      <c r="AL32" s="32"/>
    </row>
    <row r="33" spans="1:38">
      <c r="A33" s="95"/>
      <c r="B33" s="94"/>
      <c r="C33" s="27" t="s">
        <v>229</v>
      </c>
      <c r="D33" s="27">
        <v>4.9000000000000002E-2</v>
      </c>
      <c r="E33" s="28">
        <v>4.0000000000000001E-3</v>
      </c>
      <c r="G33" s="31"/>
      <c r="H33" s="32"/>
      <c r="M33" s="31"/>
      <c r="N33" s="32"/>
      <c r="S33" s="31"/>
      <c r="T33" s="32"/>
      <c r="Y33" s="31"/>
      <c r="Z33" s="32"/>
      <c r="AE33" s="31"/>
      <c r="AF33" s="32"/>
      <c r="AK33" s="31"/>
      <c r="AL33" s="32"/>
    </row>
    <row r="34" spans="1:38">
      <c r="A34" s="95"/>
      <c r="B34" s="92">
        <v>12.844082066747401</v>
      </c>
      <c r="C34" s="24" t="s">
        <v>225</v>
      </c>
      <c r="D34" s="24">
        <v>0.105</v>
      </c>
      <c r="E34" s="25">
        <v>3.1E-2</v>
      </c>
      <c r="G34" s="31"/>
      <c r="H34" s="32"/>
      <c r="M34" s="31"/>
      <c r="N34" s="32"/>
      <c r="S34" s="31"/>
      <c r="T34" s="32"/>
      <c r="Y34" s="31"/>
      <c r="Z34" s="32"/>
      <c r="AE34" s="31"/>
      <c r="AF34" s="32"/>
      <c r="AK34" s="31"/>
      <c r="AL34" s="32"/>
    </row>
    <row r="35" spans="1:38">
      <c r="A35" s="95"/>
      <c r="B35" s="93"/>
      <c r="C35" s="8" t="s">
        <v>227</v>
      </c>
      <c r="D35" s="8">
        <v>3.9E-2</v>
      </c>
      <c r="E35" s="26">
        <v>7.0000000000000001E-3</v>
      </c>
      <c r="G35" s="31"/>
      <c r="H35" s="32"/>
      <c r="M35" s="31"/>
      <c r="N35" s="32"/>
      <c r="S35" s="31"/>
      <c r="T35" s="32"/>
      <c r="Y35" s="31"/>
      <c r="Z35" s="32"/>
      <c r="AE35" s="31"/>
      <c r="AF35" s="32"/>
      <c r="AK35" s="31"/>
      <c r="AL35" s="32"/>
    </row>
    <row r="36" spans="1:38">
      <c r="A36" s="95"/>
      <c r="B36" s="93"/>
      <c r="C36" s="8" t="s">
        <v>228</v>
      </c>
      <c r="D36" s="33">
        <v>0.46</v>
      </c>
      <c r="E36" s="26">
        <v>0.19500000000000001</v>
      </c>
      <c r="G36" s="31"/>
      <c r="H36" s="32"/>
      <c r="M36" s="31"/>
      <c r="N36" s="32"/>
      <c r="S36" s="31"/>
      <c r="T36" s="32"/>
      <c r="Y36" s="31"/>
      <c r="Z36" s="32"/>
      <c r="AE36" s="31"/>
      <c r="AF36" s="32"/>
      <c r="AK36" s="31"/>
      <c r="AL36" s="32"/>
    </row>
    <row r="37" spans="1:38">
      <c r="A37" s="95"/>
      <c r="B37" s="94"/>
      <c r="C37" s="27" t="s">
        <v>229</v>
      </c>
      <c r="D37" s="27">
        <v>2.4E-2</v>
      </c>
      <c r="E37" s="28">
        <v>7.0000000000000001E-3</v>
      </c>
      <c r="G37" s="31"/>
      <c r="H37" s="32"/>
      <c r="M37" s="31"/>
      <c r="N37" s="32"/>
      <c r="S37" s="31"/>
      <c r="T37" s="32"/>
      <c r="Y37" s="31"/>
      <c r="Z37" s="32"/>
      <c r="AE37" s="31"/>
      <c r="AF37" s="32"/>
      <c r="AK37" s="31"/>
      <c r="AL37" s="32"/>
    </row>
    <row r="38" spans="1:38">
      <c r="A38" s="95"/>
      <c r="B38" s="92">
        <v>11.139438061733999</v>
      </c>
      <c r="C38" s="24" t="s">
        <v>225</v>
      </c>
      <c r="D38" s="24">
        <v>0.19900000000000001</v>
      </c>
      <c r="E38" s="36">
        <v>0.02</v>
      </c>
      <c r="G38" s="31"/>
      <c r="H38" s="32"/>
      <c r="M38" s="31"/>
      <c r="N38" s="32"/>
      <c r="S38" s="31"/>
      <c r="T38" s="32"/>
      <c r="Y38" s="31"/>
      <c r="Z38" s="32"/>
      <c r="AE38" s="31"/>
      <c r="AF38" s="32"/>
      <c r="AK38" s="31"/>
      <c r="AL38" s="32"/>
    </row>
    <row r="39" spans="1:38">
      <c r="A39" s="95"/>
      <c r="B39" s="93"/>
      <c r="C39" s="8" t="s">
        <v>227</v>
      </c>
      <c r="D39" s="8">
        <v>5.3999999999999999E-2</v>
      </c>
      <c r="E39" s="26">
        <v>8.0000000000000002E-3</v>
      </c>
      <c r="G39" s="31"/>
      <c r="H39" s="32"/>
      <c r="M39" s="31"/>
      <c r="N39" s="32"/>
      <c r="S39" s="31"/>
      <c r="T39" s="32"/>
      <c r="Y39" s="31"/>
      <c r="Z39" s="32"/>
      <c r="AE39" s="31"/>
      <c r="AF39" s="32"/>
      <c r="AK39" s="31"/>
      <c r="AL39" s="32"/>
    </row>
    <row r="40" spans="1:38">
      <c r="A40" s="95"/>
      <c r="B40" s="93"/>
      <c r="C40" s="8" t="s">
        <v>228</v>
      </c>
      <c r="D40" s="8">
        <v>0.223</v>
      </c>
      <c r="E40" s="26">
        <v>1.9E-2</v>
      </c>
      <c r="G40" s="31"/>
      <c r="H40" s="32"/>
      <c r="M40" s="31"/>
      <c r="N40" s="32"/>
      <c r="S40" s="31"/>
      <c r="T40" s="32"/>
      <c r="Y40" s="31"/>
      <c r="Z40" s="32"/>
      <c r="AE40" s="31"/>
      <c r="AF40" s="32"/>
      <c r="AK40" s="31"/>
      <c r="AL40" s="32"/>
    </row>
    <row r="41" spans="1:38">
      <c r="A41" s="95"/>
      <c r="B41" s="94"/>
      <c r="C41" s="27" t="s">
        <v>229</v>
      </c>
      <c r="D41" s="27">
        <v>5.8999999999999997E-2</v>
      </c>
      <c r="E41" s="28">
        <v>8.9999999999999993E-3</v>
      </c>
      <c r="G41" s="31"/>
      <c r="H41" s="32"/>
      <c r="M41" s="31"/>
      <c r="N41" s="32"/>
      <c r="S41" s="31"/>
      <c r="T41" s="32"/>
      <c r="Y41" s="31"/>
      <c r="Z41" s="32"/>
      <c r="AE41" s="31"/>
      <c r="AF41" s="32"/>
      <c r="AK41" s="31"/>
      <c r="AL41" s="32"/>
    </row>
    <row r="42" spans="1:38">
      <c r="A42" s="95"/>
      <c r="B42" s="92">
        <v>11.0957376638142</v>
      </c>
      <c r="C42" s="24" t="s">
        <v>225</v>
      </c>
      <c r="D42" s="24">
        <v>6.4000000000000001E-2</v>
      </c>
      <c r="E42" s="25">
        <v>2.5999999999999999E-2</v>
      </c>
      <c r="G42" s="31"/>
      <c r="H42" s="32"/>
      <c r="M42" s="31"/>
      <c r="N42" s="32"/>
      <c r="S42" s="31"/>
      <c r="T42" s="32"/>
      <c r="Y42" s="31"/>
      <c r="Z42" s="32"/>
      <c r="AE42" s="31"/>
      <c r="AF42" s="32"/>
      <c r="AK42" s="31"/>
      <c r="AL42" s="32"/>
    </row>
    <row r="43" spans="1:38">
      <c r="A43" s="95"/>
      <c r="B43" s="93"/>
      <c r="C43" s="8" t="s">
        <v>227</v>
      </c>
      <c r="D43" s="8">
        <v>2.5000000000000001E-2</v>
      </c>
      <c r="E43" s="26">
        <v>5.0000000000000001E-3</v>
      </c>
      <c r="G43" s="31"/>
      <c r="H43" s="32"/>
      <c r="M43" s="31"/>
      <c r="N43" s="32"/>
      <c r="S43" s="31"/>
      <c r="T43" s="32"/>
      <c r="Y43" s="31"/>
      <c r="Z43" s="32"/>
      <c r="AE43" s="31"/>
      <c r="AF43" s="32"/>
      <c r="AK43" s="31"/>
      <c r="AL43" s="32"/>
    </row>
    <row r="44" spans="1:38">
      <c r="A44" s="95"/>
      <c r="B44" s="93"/>
      <c r="C44" s="8" t="s">
        <v>228</v>
      </c>
      <c r="D44" s="8">
        <v>4.2000000000000003E-2</v>
      </c>
      <c r="E44" s="37">
        <v>0.01</v>
      </c>
      <c r="G44" s="31"/>
      <c r="H44" s="32"/>
      <c r="M44" s="31"/>
      <c r="N44" s="32"/>
      <c r="S44" s="31"/>
      <c r="T44" s="32"/>
      <c r="Y44" s="31"/>
      <c r="Z44" s="32"/>
      <c r="AE44" s="31"/>
      <c r="AF44" s="32"/>
      <c r="AK44" s="31"/>
      <c r="AL44" s="32"/>
    </row>
    <row r="45" spans="1:38">
      <c r="A45" s="95"/>
      <c r="B45" s="94"/>
      <c r="C45" s="27" t="s">
        <v>229</v>
      </c>
      <c r="D45" s="27">
        <v>3.6999999999999998E-2</v>
      </c>
      <c r="E45" s="28">
        <v>1.2E-2</v>
      </c>
      <c r="G45" s="31"/>
      <c r="H45" s="32"/>
      <c r="M45" s="31"/>
      <c r="N45" s="32"/>
      <c r="S45" s="31"/>
      <c r="T45" s="32"/>
      <c r="Y45" s="31"/>
      <c r="Z45" s="32"/>
      <c r="AE45" s="31"/>
      <c r="AF45" s="32"/>
      <c r="AK45" s="31"/>
      <c r="AL45" s="32"/>
    </row>
    <row r="46" spans="1:38">
      <c r="A46" s="95" t="s">
        <v>21</v>
      </c>
      <c r="B46" s="92">
        <v>9.8097434965383901</v>
      </c>
      <c r="C46" s="24" t="s">
        <v>225</v>
      </c>
      <c r="D46" s="24">
        <v>1.5940000000000001</v>
      </c>
      <c r="E46" s="25">
        <v>0.218</v>
      </c>
    </row>
    <row r="47" spans="1:38">
      <c r="A47" s="95"/>
      <c r="B47" s="93"/>
      <c r="C47" s="8" t="s">
        <v>227</v>
      </c>
      <c r="D47" s="8">
        <v>2.7280000000000002</v>
      </c>
      <c r="E47" s="26">
        <v>0.32700000000000001</v>
      </c>
    </row>
    <row r="48" spans="1:38">
      <c r="A48" s="95"/>
      <c r="B48" s="93"/>
      <c r="C48" s="8" t="s">
        <v>228</v>
      </c>
      <c r="D48" s="33">
        <v>2.44</v>
      </c>
      <c r="E48" s="26">
        <v>0.44700000000000001</v>
      </c>
    </row>
    <row r="49" spans="1:5">
      <c r="A49" s="95"/>
      <c r="B49" s="94"/>
      <c r="C49" s="27" t="s">
        <v>229</v>
      </c>
      <c r="D49" s="27">
        <v>2.8010000000000002</v>
      </c>
      <c r="E49" s="28">
        <v>0.51600000000000001</v>
      </c>
    </row>
    <row r="50" spans="1:5">
      <c r="A50" s="95"/>
      <c r="B50" s="92">
        <v>13.289870274379901</v>
      </c>
      <c r="C50" s="24" t="s">
        <v>225</v>
      </c>
      <c r="D50" s="34">
        <v>2.75</v>
      </c>
      <c r="E50" s="25">
        <v>0.35699999999999998</v>
      </c>
    </row>
    <row r="51" spans="1:5">
      <c r="A51" s="95"/>
      <c r="B51" s="93"/>
      <c r="C51" s="8" t="s">
        <v>227</v>
      </c>
      <c r="D51" s="8">
        <v>4.3019999999999996</v>
      </c>
      <c r="E51" s="26">
        <v>0.72599999999999998</v>
      </c>
    </row>
    <row r="52" spans="1:5">
      <c r="A52" s="95"/>
      <c r="B52" s="93"/>
      <c r="C52" s="8" t="s">
        <v>228</v>
      </c>
      <c r="D52" s="8">
        <v>4.0350000000000001</v>
      </c>
      <c r="E52" s="37">
        <v>1.21</v>
      </c>
    </row>
    <row r="53" spans="1:5">
      <c r="A53" s="95"/>
      <c r="B53" s="94"/>
      <c r="C53" s="27" t="s">
        <v>229</v>
      </c>
      <c r="D53" s="27">
        <v>5.5990000000000002</v>
      </c>
      <c r="E53" s="28" t="s">
        <v>34</v>
      </c>
    </row>
    <row r="54" spans="1:5">
      <c r="A54" s="95"/>
      <c r="B54" s="92">
        <v>10.670492424171201</v>
      </c>
      <c r="C54" s="24" t="s">
        <v>225</v>
      </c>
      <c r="D54" s="24">
        <v>4.1840000000000002</v>
      </c>
      <c r="E54" s="36">
        <v>2.42</v>
      </c>
    </row>
    <row r="55" spans="1:5">
      <c r="A55" s="95"/>
      <c r="B55" s="93"/>
      <c r="C55" s="8" t="s">
        <v>227</v>
      </c>
      <c r="D55" s="8">
        <v>6.3170000000000002</v>
      </c>
      <c r="E55" s="26">
        <v>0.67400000000000004</v>
      </c>
    </row>
    <row r="56" spans="1:5">
      <c r="A56" s="95"/>
      <c r="B56" s="93"/>
      <c r="C56" s="8" t="s">
        <v>228</v>
      </c>
      <c r="D56" s="8">
        <v>3.6629999999999998</v>
      </c>
      <c r="E56" s="26">
        <v>0.69099999999999995</v>
      </c>
    </row>
    <row r="57" spans="1:5">
      <c r="A57" s="95"/>
      <c r="B57" s="94"/>
      <c r="C57" s="27" t="s">
        <v>229</v>
      </c>
      <c r="D57" s="27">
        <v>4.9889999999999999</v>
      </c>
      <c r="E57" s="28">
        <v>0.46899999999999997</v>
      </c>
    </row>
    <row r="58" spans="1:5">
      <c r="A58" s="95"/>
      <c r="B58" s="92">
        <v>12.0388784868085</v>
      </c>
      <c r="C58" s="24" t="s">
        <v>225</v>
      </c>
      <c r="D58" s="24">
        <v>3.4940000000000002</v>
      </c>
      <c r="E58" s="25">
        <v>0.46899999999999997</v>
      </c>
    </row>
    <row r="59" spans="1:5">
      <c r="A59" s="95"/>
      <c r="B59" s="93"/>
      <c r="C59" s="8" t="s">
        <v>227</v>
      </c>
      <c r="D59" s="8">
        <v>4.5640000000000001</v>
      </c>
      <c r="E59" s="26">
        <v>0.39800000000000002</v>
      </c>
    </row>
    <row r="60" spans="1:5">
      <c r="A60" s="95"/>
      <c r="B60" s="93"/>
      <c r="C60" s="8" t="s">
        <v>228</v>
      </c>
      <c r="D60" s="8">
        <v>6.5289999999999999</v>
      </c>
      <c r="E60" s="26">
        <v>3.5430000000000001</v>
      </c>
    </row>
    <row r="61" spans="1:5">
      <c r="A61" s="95"/>
      <c r="B61" s="94"/>
      <c r="C61" s="27" t="s">
        <v>229</v>
      </c>
      <c r="D61" s="27">
        <v>5.649</v>
      </c>
      <c r="E61" s="28">
        <v>1.788</v>
      </c>
    </row>
    <row r="62" spans="1:5">
      <c r="A62" s="95"/>
      <c r="B62" s="92">
        <v>10.863771875145201</v>
      </c>
      <c r="C62" s="24" t="s">
        <v>225</v>
      </c>
      <c r="D62" s="24">
        <v>3.5579999999999998</v>
      </c>
      <c r="E62" s="25">
        <v>0.49099999999999999</v>
      </c>
    </row>
    <row r="63" spans="1:5">
      <c r="A63" s="95"/>
      <c r="B63" s="93"/>
      <c r="C63" s="8" t="s">
        <v>227</v>
      </c>
      <c r="D63" s="8">
        <v>3.3719999999999999</v>
      </c>
      <c r="E63" s="26">
        <v>0.48299999999999998</v>
      </c>
    </row>
    <row r="64" spans="1:5">
      <c r="A64" s="95"/>
      <c r="B64" s="93"/>
      <c r="C64" s="8" t="s">
        <v>228</v>
      </c>
      <c r="D64" s="8">
        <v>2.1019999999999999</v>
      </c>
      <c r="E64" s="26">
        <v>0.188</v>
      </c>
    </row>
    <row r="65" spans="1:5">
      <c r="A65" s="95"/>
      <c r="B65" s="94"/>
      <c r="C65" s="27" t="s">
        <v>229</v>
      </c>
      <c r="D65" s="27">
        <v>4.5019999999999998</v>
      </c>
      <c r="E65" s="28">
        <v>0.72899999999999998</v>
      </c>
    </row>
    <row r="66" spans="1:5">
      <c r="A66" s="95"/>
      <c r="B66" s="92">
        <v>11.191736578258899</v>
      </c>
      <c r="C66" s="24" t="s">
        <v>225</v>
      </c>
      <c r="D66" s="24">
        <v>2.7450000000000001</v>
      </c>
      <c r="E66" s="25">
        <v>0.35799999999999998</v>
      </c>
    </row>
    <row r="67" spans="1:5">
      <c r="A67" s="95"/>
      <c r="B67" s="93"/>
      <c r="C67" s="8" t="s">
        <v>227</v>
      </c>
      <c r="D67" s="8">
        <v>5.3680000000000003</v>
      </c>
      <c r="E67" s="26">
        <v>0.624</v>
      </c>
    </row>
    <row r="68" spans="1:5">
      <c r="A68" s="95"/>
      <c r="B68" s="93"/>
      <c r="C68" s="8" t="s">
        <v>228</v>
      </c>
      <c r="D68" s="33">
        <v>3.66</v>
      </c>
      <c r="E68" s="26">
        <v>1.0620000000000001</v>
      </c>
    </row>
    <row r="69" spans="1:5">
      <c r="A69" s="95"/>
      <c r="B69" s="94"/>
      <c r="C69" s="27" t="s">
        <v>229</v>
      </c>
      <c r="D69" s="27">
        <v>6.6040000000000001</v>
      </c>
      <c r="E69" s="28">
        <v>0.98399999999999999</v>
      </c>
    </row>
    <row r="70" spans="1:5">
      <c r="A70" s="95"/>
      <c r="B70" s="92">
        <v>9.2257199487345201</v>
      </c>
      <c r="C70" s="24" t="s">
        <v>225</v>
      </c>
      <c r="D70" s="24">
        <v>2.5009999999999999</v>
      </c>
      <c r="E70" s="25">
        <v>0.81200000000000006</v>
      </c>
    </row>
    <row r="71" spans="1:5">
      <c r="A71" s="95"/>
      <c r="B71" s="93"/>
      <c r="C71" s="8" t="s">
        <v>227</v>
      </c>
      <c r="D71" s="8">
        <v>3.492</v>
      </c>
      <c r="E71" s="26">
        <v>0.32400000000000001</v>
      </c>
    </row>
    <row r="72" spans="1:5">
      <c r="A72" s="95"/>
      <c r="B72" s="93"/>
      <c r="C72" s="8" t="s">
        <v>228</v>
      </c>
      <c r="D72" s="8">
        <v>3.4239999999999999</v>
      </c>
      <c r="E72" s="26">
        <v>0.61699999999999999</v>
      </c>
    </row>
    <row r="73" spans="1:5">
      <c r="A73" s="95"/>
      <c r="B73" s="94"/>
      <c r="C73" s="27" t="s">
        <v>229</v>
      </c>
      <c r="D73" s="27">
        <v>4.2069999999999999</v>
      </c>
      <c r="E73" s="28">
        <v>0.50900000000000001</v>
      </c>
    </row>
    <row r="74" spans="1:5">
      <c r="A74" s="95"/>
      <c r="B74" s="92">
        <v>8.6708552293104102</v>
      </c>
      <c r="C74" s="24" t="s">
        <v>225</v>
      </c>
      <c r="D74" s="24">
        <v>4.4370000000000003</v>
      </c>
      <c r="E74" s="36">
        <v>0.51</v>
      </c>
    </row>
    <row r="75" spans="1:5">
      <c r="A75" s="95"/>
      <c r="B75" s="93"/>
      <c r="C75" s="8" t="s">
        <v>227</v>
      </c>
      <c r="D75" s="8">
        <v>4.4969999999999999</v>
      </c>
      <c r="E75" s="26">
        <v>1.0089999999999999</v>
      </c>
    </row>
    <row r="76" spans="1:5">
      <c r="A76" s="95"/>
      <c r="B76" s="93"/>
      <c r="C76" s="8" t="s">
        <v>228</v>
      </c>
      <c r="D76" s="8">
        <v>5.1559999999999997</v>
      </c>
      <c r="E76" s="26">
        <v>0.64100000000000001</v>
      </c>
    </row>
    <row r="77" spans="1:5">
      <c r="A77" s="95"/>
      <c r="B77" s="94"/>
      <c r="C77" s="27" t="s">
        <v>229</v>
      </c>
      <c r="D77" s="27">
        <v>3.6859999999999999</v>
      </c>
      <c r="E77" s="28">
        <v>0.46899999999999997</v>
      </c>
    </row>
    <row r="78" spans="1:5">
      <c r="A78" s="95"/>
      <c r="B78" s="92">
        <v>12.844082066747401</v>
      </c>
      <c r="C78" s="24" t="s">
        <v>225</v>
      </c>
      <c r="D78" s="24">
        <v>6.9509999999999996</v>
      </c>
      <c r="E78" s="25">
        <v>2.2509999999999999</v>
      </c>
    </row>
    <row r="79" spans="1:5">
      <c r="A79" s="95"/>
      <c r="B79" s="93"/>
      <c r="C79" s="8" t="s">
        <v>227</v>
      </c>
      <c r="D79" s="8">
        <v>9.1189999999999998</v>
      </c>
      <c r="E79" s="26">
        <v>4.4180000000000001</v>
      </c>
    </row>
    <row r="80" spans="1:5">
      <c r="A80" s="95"/>
      <c r="B80" s="93"/>
      <c r="C80" s="8" t="s">
        <v>228</v>
      </c>
      <c r="D80" s="8">
        <v>1.0780000000000001</v>
      </c>
      <c r="E80" s="26">
        <v>0.112</v>
      </c>
    </row>
    <row r="81" spans="1:5">
      <c r="A81" s="95"/>
      <c r="B81" s="94"/>
      <c r="C81" s="27" t="s">
        <v>229</v>
      </c>
      <c r="D81" s="27">
        <v>6.0659999999999998</v>
      </c>
      <c r="E81" s="28">
        <v>0.11600000000000001</v>
      </c>
    </row>
    <row r="82" spans="1:5">
      <c r="A82" s="95"/>
      <c r="B82" s="92">
        <v>11.139438061733999</v>
      </c>
      <c r="C82" s="24" t="s">
        <v>225</v>
      </c>
      <c r="D82" s="24">
        <v>1.873</v>
      </c>
      <c r="E82" s="25">
        <v>0.19800000000000001</v>
      </c>
    </row>
    <row r="83" spans="1:5">
      <c r="A83" s="95"/>
      <c r="B83" s="93"/>
      <c r="C83" s="8" t="s">
        <v>227</v>
      </c>
      <c r="D83" s="8">
        <v>6.8849999999999998</v>
      </c>
      <c r="E83" s="26">
        <v>1.419</v>
      </c>
    </row>
    <row r="84" spans="1:5">
      <c r="A84" s="95"/>
      <c r="B84" s="93"/>
      <c r="C84" s="8" t="s">
        <v>228</v>
      </c>
      <c r="D84" s="8">
        <v>2.2909999999999999</v>
      </c>
      <c r="E84" s="26">
        <v>0.34799999999999998</v>
      </c>
    </row>
    <row r="85" spans="1:5">
      <c r="A85" s="95"/>
      <c r="B85" s="94"/>
      <c r="C85" s="27" t="s">
        <v>229</v>
      </c>
      <c r="D85" s="27">
        <v>5.2519999999999998</v>
      </c>
      <c r="E85" s="38">
        <v>0.55000000000000004</v>
      </c>
    </row>
    <row r="86" spans="1:5">
      <c r="A86" s="95"/>
      <c r="B86" s="92">
        <v>11.0957376638142</v>
      </c>
      <c r="C86" s="24" t="s">
        <v>225</v>
      </c>
      <c r="D86" s="24">
        <v>5.5759999999999996</v>
      </c>
      <c r="E86" s="25">
        <v>1.2869999999999999</v>
      </c>
    </row>
    <row r="87" spans="1:5">
      <c r="A87" s="95"/>
      <c r="B87" s="93"/>
      <c r="C87" s="8" t="s">
        <v>227</v>
      </c>
      <c r="D87" s="8">
        <v>6.0880000000000001</v>
      </c>
      <c r="E87" s="26">
        <v>2.3370000000000002</v>
      </c>
    </row>
    <row r="88" spans="1:5">
      <c r="A88" s="95"/>
      <c r="B88" s="93"/>
      <c r="C88" s="8" t="s">
        <v>228</v>
      </c>
      <c r="D88" s="33">
        <v>7.76</v>
      </c>
      <c r="E88" s="26">
        <v>1.7769999999999999</v>
      </c>
    </row>
    <row r="89" spans="1:5">
      <c r="A89" s="95"/>
      <c r="B89" s="94"/>
      <c r="C89" s="27" t="s">
        <v>229</v>
      </c>
      <c r="D89" s="35">
        <v>7.2</v>
      </c>
      <c r="E89" s="28">
        <v>1.8520000000000001</v>
      </c>
    </row>
    <row r="90" spans="1:5">
      <c r="A90" s="95" t="s">
        <v>35</v>
      </c>
      <c r="B90" s="92">
        <v>9.8097434965383901</v>
      </c>
      <c r="C90" s="24" t="s">
        <v>225</v>
      </c>
      <c r="D90" s="24">
        <v>3.8759999999999999</v>
      </c>
      <c r="E90" s="25">
        <v>0.61899999999999999</v>
      </c>
    </row>
    <row r="91" spans="1:5">
      <c r="A91" s="95"/>
      <c r="B91" s="93"/>
      <c r="C91" s="8" t="s">
        <v>227</v>
      </c>
      <c r="D91" s="8">
        <v>5.0739999999999998</v>
      </c>
      <c r="E91" s="26">
        <v>0.40899999999999997</v>
      </c>
    </row>
    <row r="92" spans="1:5">
      <c r="A92" s="95"/>
      <c r="B92" s="93"/>
      <c r="C92" s="8" t="s">
        <v>228</v>
      </c>
      <c r="D92" s="33">
        <v>5.38</v>
      </c>
      <c r="E92" s="26">
        <v>0.58199999999999996</v>
      </c>
    </row>
    <row r="93" spans="1:5">
      <c r="A93" s="95"/>
      <c r="B93" s="94"/>
      <c r="C93" s="27" t="s">
        <v>229</v>
      </c>
      <c r="D93" s="27">
        <v>5.8310000000000004</v>
      </c>
      <c r="E93" s="28">
        <v>0.52500000000000002</v>
      </c>
    </row>
    <row r="94" spans="1:5">
      <c r="A94" s="95"/>
      <c r="B94" s="92">
        <v>13.289870274379901</v>
      </c>
      <c r="C94" s="24" t="s">
        <v>225</v>
      </c>
      <c r="D94" s="24">
        <v>3.536</v>
      </c>
      <c r="E94" s="25">
        <v>0.34399999999999997</v>
      </c>
    </row>
    <row r="95" spans="1:5">
      <c r="A95" s="95"/>
      <c r="B95" s="93"/>
      <c r="C95" s="8" t="s">
        <v>227</v>
      </c>
      <c r="D95" s="8">
        <v>3.411</v>
      </c>
      <c r="E95" s="26">
        <v>0.45200000000000001</v>
      </c>
    </row>
    <row r="96" spans="1:5">
      <c r="A96" s="95"/>
      <c r="B96" s="93"/>
      <c r="C96" s="8" t="s">
        <v>228</v>
      </c>
      <c r="D96" s="8">
        <v>3.5379999999999998</v>
      </c>
      <c r="E96" s="26">
        <v>1.0389999999999999</v>
      </c>
    </row>
    <row r="97" spans="1:5">
      <c r="A97" s="95"/>
      <c r="B97" s="94"/>
      <c r="C97" s="27" t="s">
        <v>229</v>
      </c>
      <c r="D97" s="35">
        <v>1.55</v>
      </c>
      <c r="E97" s="28">
        <v>0.84299999999999997</v>
      </c>
    </row>
    <row r="98" spans="1:5">
      <c r="A98" s="95"/>
      <c r="B98" s="92">
        <v>10.670492424171201</v>
      </c>
      <c r="C98" s="24" t="s">
        <v>225</v>
      </c>
      <c r="D98" s="34">
        <v>4.57</v>
      </c>
      <c r="E98" s="25">
        <v>0.27700000000000002</v>
      </c>
    </row>
    <row r="99" spans="1:5">
      <c r="A99" s="95"/>
      <c r="B99" s="93"/>
      <c r="C99" s="8" t="s">
        <v>227</v>
      </c>
      <c r="D99" s="33">
        <v>4.03</v>
      </c>
      <c r="E99" s="26">
        <v>0.27400000000000002</v>
      </c>
    </row>
    <row r="100" spans="1:5">
      <c r="A100" s="95"/>
      <c r="B100" s="93"/>
      <c r="C100" s="8" t="s">
        <v>228</v>
      </c>
      <c r="D100" s="8">
        <v>4.9420000000000002</v>
      </c>
      <c r="E100" s="26">
        <v>0.34799999999999998</v>
      </c>
    </row>
    <row r="101" spans="1:5">
      <c r="A101" s="95"/>
      <c r="B101" s="94"/>
      <c r="C101" s="27" t="s">
        <v>229</v>
      </c>
      <c r="D101" s="27">
        <v>5.008</v>
      </c>
      <c r="E101" s="28">
        <v>0.313</v>
      </c>
    </row>
    <row r="102" spans="1:5">
      <c r="A102" s="95"/>
      <c r="B102" s="92">
        <v>12.0388784868085</v>
      </c>
      <c r="C102" s="24" t="s">
        <v>225</v>
      </c>
      <c r="D102" s="24">
        <v>5.3049999999999997</v>
      </c>
      <c r="E102" s="25">
        <v>0.39500000000000002</v>
      </c>
    </row>
    <row r="103" spans="1:5">
      <c r="A103" s="95"/>
      <c r="B103" s="93"/>
      <c r="C103" s="8" t="s">
        <v>227</v>
      </c>
      <c r="D103" s="8">
        <v>5.1749999999999998</v>
      </c>
      <c r="E103" s="26">
        <v>0.375</v>
      </c>
    </row>
    <row r="104" spans="1:5">
      <c r="A104" s="95"/>
      <c r="B104" s="93"/>
      <c r="C104" s="8" t="s">
        <v>228</v>
      </c>
      <c r="D104" s="33">
        <v>3.8</v>
      </c>
      <c r="E104" s="26">
        <v>1.0880000000000001</v>
      </c>
    </row>
    <row r="105" spans="1:5">
      <c r="A105" s="95"/>
      <c r="B105" s="94"/>
      <c r="C105" s="27" t="s">
        <v>229</v>
      </c>
      <c r="D105" s="27">
        <v>2.0289999999999999</v>
      </c>
      <c r="E105" s="28">
        <v>0.94199999999999995</v>
      </c>
    </row>
    <row r="106" spans="1:5">
      <c r="A106" s="95"/>
      <c r="B106" s="92">
        <v>10.863771875145201</v>
      </c>
      <c r="C106" s="24" t="s">
        <v>225</v>
      </c>
      <c r="D106" s="24">
        <v>5.7249999999999996</v>
      </c>
      <c r="E106" s="25">
        <v>0.435</v>
      </c>
    </row>
    <row r="107" spans="1:5">
      <c r="A107" s="95"/>
      <c r="B107" s="93"/>
      <c r="C107" s="8" t="s">
        <v>227</v>
      </c>
      <c r="D107" s="8">
        <v>4.7889999999999997</v>
      </c>
      <c r="E107" s="26">
        <v>0.441</v>
      </c>
    </row>
    <row r="108" spans="1:5">
      <c r="A108" s="95"/>
      <c r="B108" s="93"/>
      <c r="C108" s="8" t="s">
        <v>228</v>
      </c>
      <c r="D108" s="8">
        <v>4.2969999999999997</v>
      </c>
      <c r="E108" s="26">
        <v>0.56599999999999995</v>
      </c>
    </row>
    <row r="109" spans="1:5">
      <c r="A109" s="95"/>
      <c r="B109" s="94"/>
      <c r="C109" s="27" t="s">
        <v>229</v>
      </c>
      <c r="D109" s="27">
        <v>4.6429999999999998</v>
      </c>
      <c r="E109" s="28">
        <v>0.443</v>
      </c>
    </row>
    <row r="110" spans="1:5">
      <c r="A110" s="95"/>
      <c r="B110" s="92">
        <v>11.191736578258899</v>
      </c>
      <c r="C110" s="24" t="s">
        <v>225</v>
      </c>
      <c r="D110" s="24">
        <v>5.109</v>
      </c>
      <c r="E110" s="25">
        <v>0.23799999999999999</v>
      </c>
    </row>
    <row r="111" spans="1:5">
      <c r="A111" s="95"/>
      <c r="B111" s="93"/>
      <c r="C111" s="8" t="s">
        <v>227</v>
      </c>
      <c r="D111" s="8">
        <v>4.1719999999999997</v>
      </c>
      <c r="E111" s="26">
        <v>0.32600000000000001</v>
      </c>
    </row>
    <row r="112" spans="1:5">
      <c r="A112" s="95"/>
      <c r="B112" s="93"/>
      <c r="C112" s="8" t="s">
        <v>228</v>
      </c>
      <c r="D112" s="8">
        <v>4.9649999999999999</v>
      </c>
      <c r="E112" s="26">
        <v>0.33300000000000002</v>
      </c>
    </row>
    <row r="113" spans="1:5">
      <c r="A113" s="95"/>
      <c r="B113" s="94"/>
      <c r="C113" s="27" t="s">
        <v>229</v>
      </c>
      <c r="D113" s="27">
        <v>4.7190000000000003</v>
      </c>
      <c r="E113" s="28">
        <v>0.28399999999999997</v>
      </c>
    </row>
    <row r="114" spans="1:5">
      <c r="A114" s="95"/>
      <c r="B114" s="92">
        <v>9.2257199487345201</v>
      </c>
      <c r="C114" s="24" t="s">
        <v>225</v>
      </c>
      <c r="D114" s="24">
        <v>4.2229999999999999</v>
      </c>
      <c r="E114" s="25">
        <v>0.72799999999999998</v>
      </c>
    </row>
    <row r="115" spans="1:5">
      <c r="A115" s="95"/>
      <c r="B115" s="93"/>
      <c r="C115" s="8" t="s">
        <v>227</v>
      </c>
      <c r="D115" s="8">
        <v>3.113</v>
      </c>
      <c r="E115" s="26">
        <v>0.54200000000000004</v>
      </c>
    </row>
    <row r="116" spans="1:5">
      <c r="A116" s="95"/>
      <c r="B116" s="93"/>
      <c r="C116" s="8" t="s">
        <v>228</v>
      </c>
      <c r="D116" s="8">
        <v>5.5949999999999998</v>
      </c>
      <c r="E116" s="26">
        <v>0.46400000000000002</v>
      </c>
    </row>
    <row r="117" spans="1:5">
      <c r="A117" s="95"/>
      <c r="B117" s="94"/>
      <c r="C117" s="27" t="s">
        <v>229</v>
      </c>
      <c r="D117" s="27">
        <v>5.1429999999999998</v>
      </c>
      <c r="E117" s="28">
        <v>0.46300000000000002</v>
      </c>
    </row>
    <row r="118" spans="1:5">
      <c r="A118" s="95"/>
      <c r="B118" s="92">
        <v>8.6708552293104102</v>
      </c>
      <c r="C118" s="24" t="s">
        <v>225</v>
      </c>
      <c r="D118" s="24">
        <v>7.8550000000000004</v>
      </c>
      <c r="E118" s="25">
        <v>0.60099999999999998</v>
      </c>
    </row>
    <row r="119" spans="1:5">
      <c r="A119" s="95"/>
      <c r="B119" s="93"/>
      <c r="C119" s="8" t="s">
        <v>227</v>
      </c>
      <c r="D119" s="8">
        <v>6.9480000000000004</v>
      </c>
      <c r="E119" s="26">
        <v>0.52200000000000002</v>
      </c>
    </row>
    <row r="120" spans="1:5">
      <c r="A120" s="95"/>
      <c r="B120" s="93"/>
      <c r="C120" s="8" t="s">
        <v>228</v>
      </c>
      <c r="D120" s="8">
        <v>7.1459999999999999</v>
      </c>
      <c r="E120" s="26">
        <v>0.48899999999999999</v>
      </c>
    </row>
    <row r="121" spans="1:5">
      <c r="A121" s="95"/>
      <c r="B121" s="94"/>
      <c r="C121" s="27" t="s">
        <v>229</v>
      </c>
      <c r="D121" s="27">
        <v>6.9640000000000004</v>
      </c>
      <c r="E121" s="28">
        <v>0.36899999999999999</v>
      </c>
    </row>
    <row r="122" spans="1:5">
      <c r="A122" s="95"/>
      <c r="B122" s="92">
        <v>12.844082066747401</v>
      </c>
      <c r="C122" s="24" t="s">
        <v>225</v>
      </c>
      <c r="D122" s="24">
        <v>3.496</v>
      </c>
      <c r="E122" s="25">
        <v>0.502</v>
      </c>
    </row>
    <row r="123" spans="1:5">
      <c r="A123" s="95"/>
      <c r="B123" s="93"/>
      <c r="C123" s="8" t="s">
        <v>227</v>
      </c>
      <c r="D123" s="8">
        <v>6.2430000000000003</v>
      </c>
      <c r="E123" s="26">
        <v>0.27500000000000002</v>
      </c>
    </row>
    <row r="124" spans="1:5">
      <c r="A124" s="95"/>
      <c r="B124" s="93"/>
      <c r="C124" s="8" t="s">
        <v>228</v>
      </c>
      <c r="D124" s="33">
        <v>1.85</v>
      </c>
      <c r="E124" s="37">
        <v>0.72</v>
      </c>
    </row>
    <row r="125" spans="1:5">
      <c r="A125" s="95"/>
      <c r="B125" s="94"/>
      <c r="C125" s="27" t="s">
        <v>229</v>
      </c>
      <c r="D125" s="27">
        <v>5.5670000000000002</v>
      </c>
      <c r="E125" s="28">
        <v>1.2330000000000001</v>
      </c>
    </row>
    <row r="126" spans="1:5">
      <c r="A126" s="95"/>
      <c r="B126" s="92">
        <v>11.139438061733999</v>
      </c>
      <c r="C126" s="24" t="s">
        <v>225</v>
      </c>
      <c r="D126" s="34">
        <v>5</v>
      </c>
      <c r="E126" s="25">
        <v>0.34799999999999998</v>
      </c>
    </row>
    <row r="127" spans="1:5">
      <c r="A127" s="95"/>
      <c r="B127" s="93"/>
      <c r="C127" s="8" t="s">
        <v>227</v>
      </c>
      <c r="D127" s="33">
        <v>4.72</v>
      </c>
      <c r="E127" s="26">
        <v>0.34899999999999998</v>
      </c>
    </row>
    <row r="128" spans="1:5">
      <c r="A128" s="95"/>
      <c r="B128" s="93"/>
      <c r="C128" s="8" t="s">
        <v>228</v>
      </c>
      <c r="D128" s="8">
        <v>5.056</v>
      </c>
      <c r="E128" s="37">
        <v>0.46</v>
      </c>
    </row>
    <row r="129" spans="1:5">
      <c r="A129" s="95"/>
      <c r="B129" s="94"/>
      <c r="C129" s="27" t="s">
        <v>229</v>
      </c>
      <c r="D129" s="27">
        <v>4.9589999999999996</v>
      </c>
      <c r="E129" s="28">
        <v>0.44700000000000001</v>
      </c>
    </row>
    <row r="130" spans="1:5">
      <c r="A130" s="95"/>
      <c r="B130" s="92">
        <v>11.0957376638142</v>
      </c>
      <c r="C130" s="24" t="s">
        <v>225</v>
      </c>
      <c r="D130" s="24">
        <v>3.5379999999999998</v>
      </c>
      <c r="E130" s="25">
        <v>0.73899999999999999</v>
      </c>
    </row>
    <row r="131" spans="1:5">
      <c r="A131" s="95"/>
      <c r="B131" s="93"/>
      <c r="C131" s="8" t="s">
        <v>227</v>
      </c>
      <c r="D131" s="8">
        <v>5.5570000000000004</v>
      </c>
      <c r="E131" s="26">
        <v>0.64600000000000002</v>
      </c>
    </row>
    <row r="132" spans="1:5">
      <c r="A132" s="95"/>
      <c r="B132" s="93"/>
      <c r="C132" s="8" t="s">
        <v>228</v>
      </c>
      <c r="D132" s="8">
        <v>4.2789999999999999</v>
      </c>
      <c r="E132" s="26">
        <v>0.58099999999999996</v>
      </c>
    </row>
    <row r="133" spans="1:5">
      <c r="A133" s="95"/>
      <c r="B133" s="94"/>
      <c r="C133" s="27" t="s">
        <v>229</v>
      </c>
      <c r="D133" s="27">
        <v>5.923</v>
      </c>
      <c r="E133" s="28">
        <v>0.50900000000000001</v>
      </c>
    </row>
    <row r="134" spans="1:5">
      <c r="A134" s="95" t="s">
        <v>6</v>
      </c>
      <c r="B134" s="92">
        <v>9.8097434965383901</v>
      </c>
      <c r="C134" s="24" t="s">
        <v>225</v>
      </c>
      <c r="D134" s="24">
        <v>98.843000000000004</v>
      </c>
      <c r="E134" s="25">
        <v>7.9329999999999998</v>
      </c>
    </row>
    <row r="135" spans="1:5">
      <c r="A135" s="95"/>
      <c r="B135" s="93"/>
      <c r="C135" s="8" t="s">
        <v>227</v>
      </c>
      <c r="D135" s="8">
        <v>128.57499999999999</v>
      </c>
      <c r="E135" s="37">
        <v>16.690000000000001</v>
      </c>
    </row>
    <row r="136" spans="1:5">
      <c r="A136" s="95"/>
      <c r="B136" s="93"/>
      <c r="C136" s="8" t="s">
        <v>228</v>
      </c>
      <c r="D136" s="8">
        <v>97.275999999999996</v>
      </c>
      <c r="E136" s="26">
        <v>6.3760000000000003</v>
      </c>
    </row>
    <row r="137" spans="1:5">
      <c r="A137" s="95"/>
      <c r="B137" s="94"/>
      <c r="C137" s="27" t="s">
        <v>229</v>
      </c>
      <c r="D137" s="27">
        <v>110.58799999999999</v>
      </c>
      <c r="E137" s="28">
        <v>9.4909999999999997</v>
      </c>
    </row>
    <row r="138" spans="1:5">
      <c r="A138" s="95"/>
      <c r="B138" s="92">
        <v>13.289870274379901</v>
      </c>
      <c r="C138" s="24" t="s">
        <v>225</v>
      </c>
      <c r="D138" s="24">
        <v>105.631</v>
      </c>
      <c r="E138" s="36">
        <v>8.81</v>
      </c>
    </row>
    <row r="139" spans="1:5">
      <c r="A139" s="95"/>
      <c r="B139" s="93"/>
      <c r="C139" s="8" t="s">
        <v>227</v>
      </c>
      <c r="D139" s="8">
        <v>144.63300000000001</v>
      </c>
      <c r="E139" s="26">
        <v>13.801</v>
      </c>
    </row>
    <row r="140" spans="1:5">
      <c r="A140" s="95"/>
      <c r="B140" s="93"/>
      <c r="C140" s="8" t="s">
        <v>228</v>
      </c>
      <c r="D140" s="8">
        <v>102.96899999999999</v>
      </c>
      <c r="E140" s="26">
        <v>16.106000000000002</v>
      </c>
    </row>
    <row r="141" spans="1:5">
      <c r="A141" s="95"/>
      <c r="B141" s="94"/>
      <c r="C141" s="27" t="s">
        <v>229</v>
      </c>
      <c r="D141" s="27">
        <v>89.209000000000003</v>
      </c>
      <c r="E141" s="28" t="s">
        <v>34</v>
      </c>
    </row>
    <row r="142" spans="1:5">
      <c r="A142" s="95"/>
      <c r="B142" s="92">
        <v>10.670492424171201</v>
      </c>
      <c r="C142" s="24" t="s">
        <v>225</v>
      </c>
      <c r="D142" s="24">
        <v>116.535</v>
      </c>
      <c r="E142" s="25">
        <v>6.3490000000000002</v>
      </c>
    </row>
    <row r="143" spans="1:5">
      <c r="A143" s="95"/>
      <c r="B143" s="93"/>
      <c r="C143" s="8" t="s">
        <v>227</v>
      </c>
      <c r="D143" s="8">
        <v>114.30200000000001</v>
      </c>
      <c r="E143" s="26">
        <v>8.0530000000000008</v>
      </c>
    </row>
    <row r="144" spans="1:5">
      <c r="A144" s="95"/>
      <c r="B144" s="93"/>
      <c r="C144" s="8" t="s">
        <v>228</v>
      </c>
      <c r="D144" s="8">
        <v>111.169</v>
      </c>
      <c r="E144" s="26">
        <v>4.8819999999999997</v>
      </c>
    </row>
    <row r="145" spans="1:5">
      <c r="A145" s="95"/>
      <c r="B145" s="94"/>
      <c r="C145" s="27" t="s">
        <v>229</v>
      </c>
      <c r="D145" s="27">
        <v>120.961</v>
      </c>
      <c r="E145" s="28">
        <v>8.5540000000000003</v>
      </c>
    </row>
    <row r="146" spans="1:5">
      <c r="A146" s="95"/>
      <c r="B146" s="92">
        <v>12.0388784868085</v>
      </c>
      <c r="C146" s="24" t="s">
        <v>225</v>
      </c>
      <c r="D146" s="24">
        <v>106.83499999999999</v>
      </c>
      <c r="E146" s="25">
        <v>4.5830000000000002</v>
      </c>
    </row>
    <row r="147" spans="1:5">
      <c r="A147" s="95"/>
      <c r="B147" s="93"/>
      <c r="C147" s="8" t="s">
        <v>227</v>
      </c>
      <c r="D147" s="33">
        <v>112.41</v>
      </c>
      <c r="E147" s="26">
        <v>8.359</v>
      </c>
    </row>
    <row r="148" spans="1:5">
      <c r="A148" s="95"/>
      <c r="B148" s="93"/>
      <c r="C148" s="8" t="s">
        <v>228</v>
      </c>
      <c r="D148" s="8">
        <v>107.163</v>
      </c>
      <c r="E148" s="26">
        <v>18.731000000000002</v>
      </c>
    </row>
    <row r="149" spans="1:5">
      <c r="A149" s="95"/>
      <c r="B149" s="94"/>
      <c r="C149" s="27" t="s">
        <v>229</v>
      </c>
      <c r="D149" s="27">
        <v>77.367999999999995</v>
      </c>
      <c r="E149" s="28">
        <v>9.7560000000000002</v>
      </c>
    </row>
    <row r="150" spans="1:5">
      <c r="A150" s="95"/>
      <c r="B150" s="92">
        <v>10.863771875145201</v>
      </c>
      <c r="C150" s="24" t="s">
        <v>225</v>
      </c>
      <c r="D150" s="24">
        <v>117.45099999999999</v>
      </c>
      <c r="E150" s="25">
        <v>9.1170000000000009</v>
      </c>
    </row>
    <row r="151" spans="1:5">
      <c r="A151" s="95"/>
      <c r="B151" s="93"/>
      <c r="C151" s="8" t="s">
        <v>227</v>
      </c>
      <c r="D151" s="8">
        <v>110.10599999999999</v>
      </c>
      <c r="E151" s="26">
        <v>13.141999999999999</v>
      </c>
    </row>
    <row r="152" spans="1:5">
      <c r="A152" s="95"/>
      <c r="B152" s="93"/>
      <c r="C152" s="8" t="s">
        <v>228</v>
      </c>
      <c r="D152" s="8">
        <v>125.364</v>
      </c>
      <c r="E152" s="26">
        <v>10.378</v>
      </c>
    </row>
    <row r="153" spans="1:5">
      <c r="A153" s="95"/>
      <c r="B153" s="94"/>
      <c r="C153" s="27" t="s">
        <v>229</v>
      </c>
      <c r="D153" s="27">
        <v>132.74700000000001</v>
      </c>
      <c r="E153" s="38">
        <v>10.11</v>
      </c>
    </row>
    <row r="154" spans="1:5">
      <c r="A154" s="95"/>
      <c r="B154" s="92">
        <v>11.191736578258899</v>
      </c>
      <c r="C154" s="24" t="s">
        <v>225</v>
      </c>
      <c r="D154" s="24">
        <v>118.60299999999999</v>
      </c>
      <c r="E154" s="36">
        <v>4.6399999999999997</v>
      </c>
    </row>
    <row r="155" spans="1:5">
      <c r="A155" s="95"/>
      <c r="B155" s="93"/>
      <c r="C155" s="8" t="s">
        <v>227</v>
      </c>
      <c r="D155" s="8">
        <v>113.134</v>
      </c>
      <c r="E155" s="26">
        <v>13.465</v>
      </c>
    </row>
    <row r="156" spans="1:5">
      <c r="A156" s="95"/>
      <c r="B156" s="93"/>
      <c r="C156" s="8" t="s">
        <v>228</v>
      </c>
      <c r="D156" s="8">
        <v>101.70699999999999</v>
      </c>
      <c r="E156" s="26">
        <v>3.8519999999999999</v>
      </c>
    </row>
    <row r="157" spans="1:5">
      <c r="A157" s="95"/>
      <c r="B157" s="94"/>
      <c r="C157" s="27" t="s">
        <v>229</v>
      </c>
      <c r="D157" s="27">
        <v>115.34699999999999</v>
      </c>
      <c r="E157" s="28">
        <v>8.9309999999999992</v>
      </c>
    </row>
    <row r="158" spans="1:5">
      <c r="A158" s="95"/>
      <c r="B158" s="92">
        <v>9.2257199487345201</v>
      </c>
      <c r="C158" s="24" t="s">
        <v>225</v>
      </c>
      <c r="D158" s="24">
        <v>119.44499999999999</v>
      </c>
      <c r="E158" s="25">
        <v>13.029</v>
      </c>
    </row>
    <row r="159" spans="1:5">
      <c r="A159" s="95"/>
      <c r="B159" s="93"/>
      <c r="C159" s="8" t="s">
        <v>227</v>
      </c>
      <c r="D159" s="8">
        <v>115.79600000000001</v>
      </c>
      <c r="E159" s="26">
        <v>11.208</v>
      </c>
    </row>
    <row r="160" spans="1:5">
      <c r="A160" s="95"/>
      <c r="B160" s="93"/>
      <c r="C160" s="8" t="s">
        <v>228</v>
      </c>
      <c r="D160" s="8">
        <v>104.441</v>
      </c>
      <c r="E160" s="26">
        <v>2.7919999999999998</v>
      </c>
    </row>
    <row r="161" spans="1:5">
      <c r="A161" s="95"/>
      <c r="B161" s="94"/>
      <c r="C161" s="27" t="s">
        <v>229</v>
      </c>
      <c r="D161" s="27">
        <v>114.58499999999999</v>
      </c>
      <c r="E161" s="28">
        <v>6.3010000000000002</v>
      </c>
    </row>
    <row r="162" spans="1:5">
      <c r="A162" s="95"/>
      <c r="B162" s="92">
        <v>8.6708552293104102</v>
      </c>
      <c r="C162" s="24" t="s">
        <v>225</v>
      </c>
      <c r="D162" s="24">
        <v>93.126999999999995</v>
      </c>
      <c r="E162" s="25">
        <v>2.0219999999999998</v>
      </c>
    </row>
    <row r="163" spans="1:5">
      <c r="A163" s="95"/>
      <c r="B163" s="93"/>
      <c r="C163" s="8" t="s">
        <v>227</v>
      </c>
      <c r="D163" s="8">
        <v>90.147000000000006</v>
      </c>
      <c r="E163" s="26">
        <v>4.0309999999999997</v>
      </c>
    </row>
    <row r="164" spans="1:5">
      <c r="A164" s="95"/>
      <c r="B164" s="93"/>
      <c r="C164" s="8" t="s">
        <v>228</v>
      </c>
      <c r="D164" s="8">
        <v>100.10299999999999</v>
      </c>
      <c r="E164" s="26">
        <v>5.1779999999999999</v>
      </c>
    </row>
    <row r="165" spans="1:5">
      <c r="A165" s="95"/>
      <c r="B165" s="94"/>
      <c r="C165" s="27" t="s">
        <v>229</v>
      </c>
      <c r="D165" s="27">
        <v>90.888000000000005</v>
      </c>
      <c r="E165" s="28">
        <v>3.1960000000000002</v>
      </c>
    </row>
    <row r="166" spans="1:5">
      <c r="A166" s="95"/>
      <c r="B166" s="92">
        <v>12.844082066747401</v>
      </c>
      <c r="C166" s="24" t="s">
        <v>225</v>
      </c>
      <c r="D166" s="24">
        <v>93.251000000000005</v>
      </c>
      <c r="E166" s="25">
        <v>5.4909999999999997</v>
      </c>
    </row>
    <row r="167" spans="1:5">
      <c r="A167" s="95"/>
      <c r="B167" s="93"/>
      <c r="C167" s="8" t="s">
        <v>227</v>
      </c>
      <c r="D167" s="8">
        <v>119.989</v>
      </c>
      <c r="E167" s="37">
        <v>11.68</v>
      </c>
    </row>
    <row r="168" spans="1:5">
      <c r="A168" s="95"/>
      <c r="B168" s="93"/>
      <c r="C168" s="8" t="s">
        <v>228</v>
      </c>
      <c r="D168" s="8" t="s">
        <v>34</v>
      </c>
      <c r="E168" s="26" t="s">
        <v>34</v>
      </c>
    </row>
    <row r="169" spans="1:5">
      <c r="A169" s="95"/>
      <c r="B169" s="94"/>
      <c r="C169" s="27" t="s">
        <v>229</v>
      </c>
      <c r="D169" s="27">
        <v>85.850999999999999</v>
      </c>
      <c r="E169" s="28" t="s">
        <v>34</v>
      </c>
    </row>
    <row r="170" spans="1:5">
      <c r="A170" s="95"/>
      <c r="B170" s="92">
        <v>11.139438061733999</v>
      </c>
      <c r="C170" s="24" t="s">
        <v>225</v>
      </c>
      <c r="D170" s="24">
        <v>118.374</v>
      </c>
      <c r="E170" s="25">
        <v>5.2050000000000001</v>
      </c>
    </row>
    <row r="171" spans="1:5">
      <c r="A171" s="95"/>
      <c r="B171" s="93"/>
      <c r="C171" s="8" t="s">
        <v>227</v>
      </c>
      <c r="D171" s="8">
        <v>116.499</v>
      </c>
      <c r="E171" s="26">
        <v>12.789</v>
      </c>
    </row>
    <row r="172" spans="1:5">
      <c r="A172" s="95"/>
      <c r="B172" s="93"/>
      <c r="C172" s="8" t="s">
        <v>228</v>
      </c>
      <c r="D172" s="8">
        <v>100.455</v>
      </c>
      <c r="E172" s="26">
        <v>5.609</v>
      </c>
    </row>
    <row r="173" spans="1:5">
      <c r="A173" s="95"/>
      <c r="B173" s="94"/>
      <c r="C173" s="27" t="s">
        <v>229</v>
      </c>
      <c r="D173" s="27">
        <v>113.902</v>
      </c>
      <c r="E173" s="28">
        <v>13.535</v>
      </c>
    </row>
    <row r="174" spans="1:5">
      <c r="A174" s="95"/>
      <c r="B174" s="92">
        <v>11.0957376638142</v>
      </c>
      <c r="C174" s="24" t="s">
        <v>225</v>
      </c>
      <c r="D174" s="24">
        <v>79.016000000000005</v>
      </c>
      <c r="E174" s="36">
        <v>5.85</v>
      </c>
    </row>
    <row r="175" spans="1:5">
      <c r="A175" s="95"/>
      <c r="B175" s="93"/>
      <c r="C175" s="8" t="s">
        <v>227</v>
      </c>
      <c r="D175" s="8">
        <v>125.178</v>
      </c>
      <c r="E175" s="26">
        <v>35.488999999999997</v>
      </c>
    </row>
    <row r="176" spans="1:5">
      <c r="A176" s="95"/>
      <c r="B176" s="93"/>
      <c r="C176" s="8" t="s">
        <v>228</v>
      </c>
      <c r="D176" s="8">
        <v>132.01400000000001</v>
      </c>
      <c r="E176" s="26">
        <v>12.523</v>
      </c>
    </row>
    <row r="177" spans="1:5">
      <c r="A177" s="95"/>
      <c r="B177" s="94"/>
      <c r="C177" s="27" t="s">
        <v>229</v>
      </c>
      <c r="D177" s="35">
        <v>108.12</v>
      </c>
      <c r="E177" s="28">
        <v>3.3660000000000001</v>
      </c>
    </row>
    <row r="178" spans="1:5">
      <c r="A178" s="95" t="s">
        <v>10</v>
      </c>
      <c r="B178" s="92">
        <v>9.8097434965383901</v>
      </c>
      <c r="C178" s="24" t="s">
        <v>225</v>
      </c>
      <c r="D178" s="34">
        <v>0.4</v>
      </c>
      <c r="E178" s="25">
        <v>0.112</v>
      </c>
    </row>
    <row r="179" spans="1:5">
      <c r="A179" s="95"/>
      <c r="B179" s="93"/>
      <c r="C179" s="8" t="s">
        <v>227</v>
      </c>
      <c r="D179" s="8">
        <v>0.111</v>
      </c>
      <c r="E179" s="26">
        <v>7.5999999999999998E-2</v>
      </c>
    </row>
    <row r="180" spans="1:5">
      <c r="A180" s="95"/>
      <c r="B180" s="93"/>
      <c r="C180" s="8" t="s">
        <v>228</v>
      </c>
      <c r="D180" s="33">
        <v>0.25</v>
      </c>
      <c r="E180" s="26">
        <v>9.9000000000000005E-2</v>
      </c>
    </row>
    <row r="181" spans="1:5">
      <c r="A181" s="95"/>
      <c r="B181" s="94"/>
      <c r="C181" s="27" t="s">
        <v>229</v>
      </c>
      <c r="D181" s="35">
        <v>0</v>
      </c>
      <c r="E181" s="38">
        <v>0</v>
      </c>
    </row>
    <row r="182" spans="1:5">
      <c r="A182" s="95"/>
      <c r="B182" s="92">
        <v>13.289870274379901</v>
      </c>
      <c r="C182" s="24" t="s">
        <v>225</v>
      </c>
      <c r="D182" s="24">
        <v>0.121</v>
      </c>
      <c r="E182" s="25">
        <v>5.8000000000000003E-2</v>
      </c>
    </row>
    <row r="183" spans="1:5">
      <c r="A183" s="95"/>
      <c r="B183" s="93"/>
      <c r="C183" s="8" t="s">
        <v>227</v>
      </c>
      <c r="D183" s="8">
        <v>0.158</v>
      </c>
      <c r="E183" s="26">
        <v>8.5999999999999993E-2</v>
      </c>
    </row>
    <row r="184" spans="1:5">
      <c r="A184" s="95"/>
      <c r="B184" s="93"/>
      <c r="C184" s="8" t="s">
        <v>228</v>
      </c>
      <c r="D184" s="8">
        <v>0.222</v>
      </c>
      <c r="E184" s="26">
        <v>0.14699999999999999</v>
      </c>
    </row>
    <row r="185" spans="1:5">
      <c r="A185" s="95"/>
      <c r="B185" s="94"/>
      <c r="C185" s="27" t="s">
        <v>229</v>
      </c>
      <c r="D185" s="35">
        <v>0.5</v>
      </c>
      <c r="E185" s="28">
        <v>0.28899999999999998</v>
      </c>
    </row>
    <row r="186" spans="1:5">
      <c r="A186" s="95"/>
      <c r="B186" s="92">
        <v>10.670492424171201</v>
      </c>
      <c r="C186" s="24" t="s">
        <v>225</v>
      </c>
      <c r="D186" s="24">
        <v>9.8000000000000004E-2</v>
      </c>
      <c r="E186" s="25">
        <v>4.7E-2</v>
      </c>
    </row>
    <row r="187" spans="1:5">
      <c r="A187" s="95"/>
      <c r="B187" s="93"/>
      <c r="C187" s="8" t="s">
        <v>227</v>
      </c>
      <c r="D187" s="8">
        <v>0.128</v>
      </c>
      <c r="E187" s="26">
        <v>5.3999999999999999E-2</v>
      </c>
    </row>
    <row r="188" spans="1:5">
      <c r="A188" s="95"/>
      <c r="B188" s="93"/>
      <c r="C188" s="8" t="s">
        <v>228</v>
      </c>
      <c r="D188" s="8">
        <v>8.5000000000000006E-2</v>
      </c>
      <c r="E188" s="26">
        <v>4.1000000000000002E-2</v>
      </c>
    </row>
    <row r="189" spans="1:5">
      <c r="A189" s="95"/>
      <c r="B189" s="94"/>
      <c r="C189" s="27" t="s">
        <v>229</v>
      </c>
      <c r="D189" s="27">
        <v>7.9000000000000001E-2</v>
      </c>
      <c r="E189" s="28">
        <v>4.3999999999999997E-2</v>
      </c>
    </row>
    <row r="190" spans="1:5">
      <c r="A190" s="95"/>
      <c r="B190" s="92">
        <v>12.0388784868085</v>
      </c>
      <c r="C190" s="24" t="s">
        <v>225</v>
      </c>
      <c r="D190" s="24">
        <v>0.108</v>
      </c>
      <c r="E190" s="25">
        <v>5.1999999999999998E-2</v>
      </c>
    </row>
    <row r="191" spans="1:5">
      <c r="A191" s="95"/>
      <c r="B191" s="93"/>
      <c r="C191" s="8" t="s">
        <v>227</v>
      </c>
      <c r="D191" s="8">
        <v>0</v>
      </c>
      <c r="E191" s="26">
        <v>0</v>
      </c>
    </row>
    <row r="192" spans="1:5">
      <c r="A192" s="95"/>
      <c r="B192" s="93"/>
      <c r="C192" s="8" t="s">
        <v>228</v>
      </c>
      <c r="D192" s="8">
        <v>0.44400000000000001</v>
      </c>
      <c r="E192" s="26">
        <v>0.17599999999999999</v>
      </c>
    </row>
    <row r="193" spans="1:5">
      <c r="A193" s="95"/>
      <c r="B193" s="94"/>
      <c r="C193" s="27" t="s">
        <v>229</v>
      </c>
      <c r="D193" s="35">
        <v>0.7</v>
      </c>
      <c r="E193" s="28">
        <v>0.153</v>
      </c>
    </row>
    <row r="194" spans="1:5">
      <c r="A194" s="95"/>
      <c r="B194" s="92">
        <v>10.863771875145201</v>
      </c>
      <c r="C194" s="24" t="s">
        <v>225</v>
      </c>
      <c r="D194" s="24">
        <v>8.7999999999999995E-2</v>
      </c>
      <c r="E194" s="25">
        <v>4.9000000000000002E-2</v>
      </c>
    </row>
    <row r="195" spans="1:5">
      <c r="A195" s="95"/>
      <c r="B195" s="93"/>
      <c r="C195" s="8" t="s">
        <v>227</v>
      </c>
      <c r="D195" s="8">
        <v>0.107</v>
      </c>
      <c r="E195" s="26">
        <v>0.06</v>
      </c>
    </row>
    <row r="196" spans="1:5">
      <c r="A196" s="95"/>
      <c r="B196" s="93"/>
      <c r="C196" s="8" t="s">
        <v>228</v>
      </c>
      <c r="D196" s="8">
        <v>0.39400000000000002</v>
      </c>
      <c r="E196" s="26">
        <v>8.5999999999999993E-2</v>
      </c>
    </row>
    <row r="197" spans="1:5">
      <c r="A197" s="95"/>
      <c r="B197" s="94"/>
      <c r="C197" s="27" t="s">
        <v>229</v>
      </c>
      <c r="D197" s="27">
        <v>0.16700000000000001</v>
      </c>
      <c r="E197" s="28">
        <v>7.8E-2</v>
      </c>
    </row>
    <row r="198" spans="1:5">
      <c r="A198" s="95"/>
      <c r="B198" s="92">
        <v>11.191736578258899</v>
      </c>
      <c r="C198" s="24" t="s">
        <v>225</v>
      </c>
      <c r="D198" s="24">
        <v>4.3999999999999997E-2</v>
      </c>
      <c r="E198" s="25">
        <v>3.1E-2</v>
      </c>
    </row>
    <row r="199" spans="1:5">
      <c r="A199" s="95"/>
      <c r="B199" s="93"/>
      <c r="C199" s="8" t="s">
        <v>227</v>
      </c>
      <c r="D199" s="8">
        <v>0.16200000000000001</v>
      </c>
      <c r="E199" s="26">
        <v>6.0999999999999999E-2</v>
      </c>
    </row>
    <row r="200" spans="1:5">
      <c r="A200" s="95"/>
      <c r="B200" s="93"/>
      <c r="C200" s="8" t="s">
        <v>228</v>
      </c>
      <c r="D200" s="8">
        <v>0.17399999999999999</v>
      </c>
      <c r="E200" s="26">
        <v>5.7000000000000002E-2</v>
      </c>
    </row>
    <row r="201" spans="1:5">
      <c r="A201" s="95"/>
      <c r="B201" s="94"/>
      <c r="C201" s="27" t="s">
        <v>229</v>
      </c>
      <c r="D201" s="27">
        <v>2.4E-2</v>
      </c>
      <c r="E201" s="28">
        <v>2.4E-2</v>
      </c>
    </row>
    <row r="202" spans="1:5">
      <c r="A202" s="95"/>
      <c r="B202" s="92">
        <v>9.2257199487345201</v>
      </c>
      <c r="C202" s="24" t="s">
        <v>225</v>
      </c>
      <c r="D202" s="24">
        <v>0.23100000000000001</v>
      </c>
      <c r="E202" s="25">
        <v>0.122</v>
      </c>
    </row>
    <row r="203" spans="1:5">
      <c r="A203" s="95"/>
      <c r="B203" s="93"/>
      <c r="C203" s="8" t="s">
        <v>227</v>
      </c>
      <c r="D203" s="33">
        <v>0.25</v>
      </c>
      <c r="E203" s="26">
        <v>0.112</v>
      </c>
    </row>
    <row r="204" spans="1:5">
      <c r="A204" s="95"/>
      <c r="B204" s="93"/>
      <c r="C204" s="8" t="s">
        <v>228</v>
      </c>
      <c r="D204" s="8">
        <v>0.13200000000000001</v>
      </c>
      <c r="E204" s="26">
        <v>5.6000000000000001E-2</v>
      </c>
    </row>
    <row r="205" spans="1:5">
      <c r="A205" s="95"/>
      <c r="B205" s="94"/>
      <c r="C205" s="27" t="s">
        <v>229</v>
      </c>
      <c r="D205" s="27">
        <v>0.13300000000000001</v>
      </c>
      <c r="E205" s="28">
        <v>6.3E-2</v>
      </c>
    </row>
    <row r="206" spans="1:5">
      <c r="A206" s="95"/>
      <c r="B206" s="92">
        <v>8.6708552293104102</v>
      </c>
      <c r="C206" s="24" t="s">
        <v>225</v>
      </c>
      <c r="D206" s="24">
        <v>0.182</v>
      </c>
      <c r="E206" s="25">
        <v>6.8000000000000005E-2</v>
      </c>
    </row>
    <row r="207" spans="1:5">
      <c r="A207" s="95"/>
      <c r="B207" s="93"/>
      <c r="C207" s="8" t="s">
        <v>227</v>
      </c>
      <c r="D207" s="8">
        <v>7.3999999999999996E-2</v>
      </c>
      <c r="E207" s="26">
        <v>5.0999999999999997E-2</v>
      </c>
    </row>
    <row r="208" spans="1:5">
      <c r="A208" s="95"/>
      <c r="B208" s="93"/>
      <c r="C208" s="8" t="s">
        <v>228</v>
      </c>
      <c r="D208" s="8">
        <v>0.13600000000000001</v>
      </c>
      <c r="E208" s="26">
        <v>5.1999999999999998E-2</v>
      </c>
    </row>
    <row r="209" spans="1:5">
      <c r="A209" s="95"/>
      <c r="B209" s="94"/>
      <c r="C209" s="27" t="s">
        <v>229</v>
      </c>
      <c r="D209" s="27">
        <v>6.5000000000000002E-2</v>
      </c>
      <c r="E209" s="28">
        <v>4.4999999999999998E-2</v>
      </c>
    </row>
    <row r="210" spans="1:5">
      <c r="A210" s="95"/>
      <c r="B210" s="92">
        <v>12.844082066747401</v>
      </c>
      <c r="C210" s="24" t="s">
        <v>225</v>
      </c>
      <c r="D210" s="24">
        <v>0.38500000000000001</v>
      </c>
      <c r="E210" s="25">
        <v>9.7000000000000003E-2</v>
      </c>
    </row>
    <row r="211" spans="1:5">
      <c r="A211" s="95"/>
      <c r="B211" s="93"/>
      <c r="C211" s="8" t="s">
        <v>227</v>
      </c>
      <c r="D211" s="8">
        <v>0</v>
      </c>
      <c r="E211" s="26">
        <v>0</v>
      </c>
    </row>
    <row r="212" spans="1:5">
      <c r="A212" s="95"/>
      <c r="B212" s="93"/>
      <c r="C212" s="8" t="s">
        <v>228</v>
      </c>
      <c r="D212" s="8">
        <v>0.66700000000000004</v>
      </c>
      <c r="E212" s="26">
        <v>0.21099999999999999</v>
      </c>
    </row>
    <row r="213" spans="1:5">
      <c r="A213" s="95"/>
      <c r="B213" s="94"/>
      <c r="C213" s="27" t="s">
        <v>229</v>
      </c>
      <c r="D213" s="35">
        <v>0.25</v>
      </c>
      <c r="E213" s="38">
        <v>0.25</v>
      </c>
    </row>
    <row r="214" spans="1:5">
      <c r="A214" s="95"/>
      <c r="B214" s="92">
        <v>11.139438061733999</v>
      </c>
      <c r="C214" s="24" t="s">
        <v>225</v>
      </c>
      <c r="D214" s="24">
        <v>0.152</v>
      </c>
      <c r="E214" s="25">
        <v>6.3E-2</v>
      </c>
    </row>
    <row r="215" spans="1:5">
      <c r="A215" s="95"/>
      <c r="B215" s="93"/>
      <c r="C215" s="8" t="s">
        <v>227</v>
      </c>
      <c r="D215" s="8">
        <v>8.5999999999999993E-2</v>
      </c>
      <c r="E215" s="26">
        <v>4.8000000000000001E-2</v>
      </c>
    </row>
    <row r="216" spans="1:5">
      <c r="A216" s="95"/>
      <c r="B216" s="93"/>
      <c r="C216" s="8" t="s">
        <v>228</v>
      </c>
      <c r="D216" s="8">
        <v>0.17100000000000001</v>
      </c>
      <c r="E216" s="26">
        <v>6.5000000000000002E-2</v>
      </c>
    </row>
    <row r="217" spans="1:5">
      <c r="A217" s="95"/>
      <c r="B217" s="94"/>
      <c r="C217" s="27" t="s">
        <v>229</v>
      </c>
      <c r="D217" s="27">
        <v>0.188</v>
      </c>
      <c r="E217" s="38">
        <v>7.0000000000000007E-2</v>
      </c>
    </row>
    <row r="218" spans="1:5">
      <c r="A218" s="95"/>
      <c r="B218" s="92">
        <v>11.0957376638142</v>
      </c>
      <c r="C218" s="24" t="s">
        <v>225</v>
      </c>
      <c r="D218" s="24">
        <v>0.26700000000000002</v>
      </c>
      <c r="E218" s="25">
        <v>0.11799999999999999</v>
      </c>
    </row>
    <row r="219" spans="1:5">
      <c r="A219" s="95"/>
      <c r="B219" s="93"/>
      <c r="C219" s="8" t="s">
        <v>227</v>
      </c>
      <c r="D219" s="8">
        <v>0.33300000000000002</v>
      </c>
      <c r="E219" s="26">
        <v>0.16700000000000001</v>
      </c>
    </row>
    <row r="220" spans="1:5">
      <c r="A220" s="95"/>
      <c r="B220" s="93"/>
      <c r="C220" s="8" t="s">
        <v>228</v>
      </c>
      <c r="D220" s="8">
        <v>0.21099999999999999</v>
      </c>
      <c r="E220" s="26">
        <v>9.6000000000000002E-2</v>
      </c>
    </row>
    <row r="221" spans="1:5">
      <c r="A221" s="95"/>
      <c r="B221" s="94"/>
      <c r="C221" s="27" t="s">
        <v>229</v>
      </c>
      <c r="D221" s="27">
        <v>7.6999999999999999E-2</v>
      </c>
      <c r="E221" s="28">
        <v>7.6999999999999999E-2</v>
      </c>
    </row>
    <row r="222" spans="1:5">
      <c r="A222" s="95" t="s">
        <v>11</v>
      </c>
      <c r="B222" s="92">
        <v>9.8097434965383901</v>
      </c>
      <c r="C222" s="24" t="s">
        <v>225</v>
      </c>
      <c r="D222" s="24">
        <v>30.606000000000002</v>
      </c>
      <c r="E222" s="25" t="s">
        <v>34</v>
      </c>
    </row>
    <row r="223" spans="1:5">
      <c r="A223" s="95"/>
      <c r="B223" s="93"/>
      <c r="C223" s="8" t="s">
        <v>227</v>
      </c>
      <c r="D223" s="8" t="s">
        <v>34</v>
      </c>
      <c r="E223" s="26" t="s">
        <v>34</v>
      </c>
    </row>
    <row r="224" spans="1:5">
      <c r="A224" s="95"/>
      <c r="B224" s="93"/>
      <c r="C224" s="8" t="s">
        <v>228</v>
      </c>
      <c r="D224" s="8">
        <v>65.313999999999993</v>
      </c>
      <c r="E224" s="26">
        <v>34.491999999999997</v>
      </c>
    </row>
    <row r="225" spans="1:5">
      <c r="A225" s="95"/>
      <c r="B225" s="94"/>
      <c r="C225" s="27" t="s">
        <v>229</v>
      </c>
      <c r="D225" s="27" t="s">
        <v>34</v>
      </c>
      <c r="E225" s="28" t="s">
        <v>34</v>
      </c>
    </row>
    <row r="226" spans="1:5">
      <c r="A226" s="95"/>
      <c r="B226" s="92">
        <v>13.289870274379901</v>
      </c>
      <c r="C226" s="24" t="s">
        <v>225</v>
      </c>
      <c r="D226" s="24">
        <v>25.603000000000002</v>
      </c>
      <c r="E226" s="25" t="s">
        <v>34</v>
      </c>
    </row>
    <row r="227" spans="1:5">
      <c r="A227" s="95"/>
      <c r="B227" s="93"/>
      <c r="C227" s="8" t="s">
        <v>227</v>
      </c>
      <c r="D227" s="8" t="s">
        <v>34</v>
      </c>
      <c r="E227" s="26" t="s">
        <v>34</v>
      </c>
    </row>
    <row r="228" spans="1:5">
      <c r="A228" s="95"/>
      <c r="B228" s="93"/>
      <c r="C228" s="8" t="s">
        <v>228</v>
      </c>
      <c r="D228" s="8">
        <v>30.105</v>
      </c>
      <c r="E228" s="26">
        <v>11.525</v>
      </c>
    </row>
    <row r="229" spans="1:5">
      <c r="A229" s="95"/>
      <c r="B229" s="94"/>
      <c r="C229" s="27" t="s">
        <v>229</v>
      </c>
      <c r="D229" s="35">
        <v>1</v>
      </c>
      <c r="E229" s="28" t="s">
        <v>34</v>
      </c>
    </row>
    <row r="230" spans="1:5">
      <c r="A230" s="95"/>
      <c r="B230" s="92">
        <v>10.670492424171201</v>
      </c>
      <c r="C230" s="24" t="s">
        <v>225</v>
      </c>
      <c r="D230" s="24">
        <v>42.305</v>
      </c>
      <c r="E230" s="25">
        <v>7.3540000000000001</v>
      </c>
    </row>
    <row r="231" spans="1:5">
      <c r="A231" s="95"/>
      <c r="B231" s="93"/>
      <c r="C231" s="8" t="s">
        <v>227</v>
      </c>
      <c r="D231" s="8" t="s">
        <v>34</v>
      </c>
      <c r="E231" s="26" t="s">
        <v>34</v>
      </c>
    </row>
    <row r="232" spans="1:5">
      <c r="A232" s="95"/>
      <c r="B232" s="93"/>
      <c r="C232" s="8" t="s">
        <v>228</v>
      </c>
      <c r="D232" s="8">
        <v>62.072000000000003</v>
      </c>
      <c r="E232" s="26">
        <v>26.527000000000001</v>
      </c>
    </row>
    <row r="233" spans="1:5">
      <c r="A233" s="95"/>
      <c r="B233" s="94"/>
      <c r="C233" s="27" t="s">
        <v>229</v>
      </c>
      <c r="D233" s="27">
        <v>18.776</v>
      </c>
      <c r="E233" s="28">
        <v>4.7370000000000001</v>
      </c>
    </row>
    <row r="234" spans="1:5">
      <c r="A234" s="95"/>
      <c r="B234" s="92">
        <v>12.0388784868085</v>
      </c>
      <c r="C234" s="24" t="s">
        <v>225</v>
      </c>
      <c r="D234" s="24">
        <v>52.161000000000001</v>
      </c>
      <c r="E234" s="25">
        <v>11.215999999999999</v>
      </c>
    </row>
    <row r="235" spans="1:5">
      <c r="A235" s="95"/>
      <c r="B235" s="93"/>
      <c r="C235" s="8" t="s">
        <v>227</v>
      </c>
      <c r="D235" s="8">
        <v>26.923999999999999</v>
      </c>
      <c r="E235" s="26">
        <v>7.3019999999999996</v>
      </c>
    </row>
    <row r="236" spans="1:5">
      <c r="A236" s="95"/>
      <c r="B236" s="93"/>
      <c r="C236" s="8" t="s">
        <v>228</v>
      </c>
      <c r="D236" s="8">
        <v>50.886000000000003</v>
      </c>
      <c r="E236" s="26">
        <v>14.981999999999999</v>
      </c>
    </row>
    <row r="237" spans="1:5">
      <c r="A237" s="95"/>
      <c r="B237" s="94"/>
      <c r="C237" s="27" t="s">
        <v>229</v>
      </c>
      <c r="D237" s="27">
        <v>21</v>
      </c>
      <c r="E237" s="28" t="s">
        <v>34</v>
      </c>
    </row>
    <row r="238" spans="1:5">
      <c r="A238" s="95"/>
      <c r="B238" s="92">
        <v>10.863771875145201</v>
      </c>
      <c r="C238" s="24" t="s">
        <v>225</v>
      </c>
      <c r="D238" s="24">
        <v>59.816000000000003</v>
      </c>
      <c r="E238" s="25">
        <v>11.086</v>
      </c>
    </row>
    <row r="239" spans="1:5">
      <c r="A239" s="95"/>
      <c r="B239" s="93"/>
      <c r="C239" s="8" t="s">
        <v>227</v>
      </c>
      <c r="D239" s="8">
        <v>29.937000000000001</v>
      </c>
      <c r="E239" s="26">
        <v>14.936999999999999</v>
      </c>
    </row>
    <row r="240" spans="1:5">
      <c r="A240" s="95"/>
      <c r="B240" s="93"/>
      <c r="C240" s="8" t="s">
        <v>228</v>
      </c>
      <c r="D240" s="8">
        <v>54.695</v>
      </c>
      <c r="E240" s="26">
        <v>19.504000000000001</v>
      </c>
    </row>
    <row r="241" spans="1:5">
      <c r="A241" s="95"/>
      <c r="B241" s="94"/>
      <c r="C241" s="27" t="s">
        <v>229</v>
      </c>
      <c r="D241" s="27" t="s">
        <v>34</v>
      </c>
      <c r="E241" s="28" t="s">
        <v>34</v>
      </c>
    </row>
    <row r="242" spans="1:5">
      <c r="A242" s="95"/>
      <c r="B242" s="92">
        <v>11.191736578258899</v>
      </c>
      <c r="C242" s="24" t="s">
        <v>225</v>
      </c>
      <c r="D242" s="34">
        <v>8</v>
      </c>
      <c r="E242" s="25" t="s">
        <v>34</v>
      </c>
    </row>
    <row r="243" spans="1:5">
      <c r="A243" s="95"/>
      <c r="B243" s="93"/>
      <c r="C243" s="8" t="s">
        <v>227</v>
      </c>
      <c r="D243" s="8" t="s">
        <v>34</v>
      </c>
      <c r="E243" s="26" t="s">
        <v>34</v>
      </c>
    </row>
    <row r="244" spans="1:5">
      <c r="A244" s="95"/>
      <c r="B244" s="93"/>
      <c r="C244" s="8" t="s">
        <v>228</v>
      </c>
      <c r="D244" s="8">
        <v>47.963000000000001</v>
      </c>
      <c r="E244" s="26">
        <v>11.622</v>
      </c>
    </row>
    <row r="245" spans="1:5">
      <c r="A245" s="95"/>
      <c r="B245" s="94"/>
      <c r="C245" s="27" t="s">
        <v>229</v>
      </c>
      <c r="D245" s="27" t="s">
        <v>34</v>
      </c>
      <c r="E245" s="28" t="s">
        <v>34</v>
      </c>
    </row>
    <row r="246" spans="1:5">
      <c r="A246" s="95"/>
      <c r="B246" s="92">
        <v>9.2257199487345201</v>
      </c>
      <c r="C246" s="24" t="s">
        <v>225</v>
      </c>
      <c r="D246" s="24" t="s">
        <v>34</v>
      </c>
      <c r="E246" s="25" t="s">
        <v>34</v>
      </c>
    </row>
    <row r="247" spans="1:5">
      <c r="A247" s="95"/>
      <c r="B247" s="93"/>
      <c r="C247" s="8" t="s">
        <v>227</v>
      </c>
      <c r="D247" s="8" t="s">
        <v>34</v>
      </c>
      <c r="E247" s="26" t="s">
        <v>34</v>
      </c>
    </row>
    <row r="248" spans="1:5">
      <c r="A248" s="95"/>
      <c r="B248" s="93"/>
      <c r="C248" s="8" t="s">
        <v>228</v>
      </c>
      <c r="D248" s="8">
        <v>62.637</v>
      </c>
      <c r="E248" s="26">
        <v>8.9969999999999999</v>
      </c>
    </row>
    <row r="249" spans="1:5">
      <c r="A249" s="95"/>
      <c r="B249" s="94"/>
      <c r="C249" s="27" t="s">
        <v>229</v>
      </c>
      <c r="D249" s="27">
        <v>29.684000000000001</v>
      </c>
      <c r="E249" s="28">
        <v>11.933999999999999</v>
      </c>
    </row>
    <row r="250" spans="1:5">
      <c r="A250" s="95"/>
      <c r="B250" s="92">
        <v>8.6708552293104102</v>
      </c>
      <c r="C250" s="24" t="s">
        <v>225</v>
      </c>
      <c r="D250" s="24">
        <v>55.052999999999997</v>
      </c>
      <c r="E250" s="25">
        <v>8.5239999999999991</v>
      </c>
    </row>
    <row r="251" spans="1:5">
      <c r="A251" s="95"/>
      <c r="B251" s="93"/>
      <c r="C251" s="8" t="s">
        <v>227</v>
      </c>
      <c r="D251" s="8">
        <v>31.234999999999999</v>
      </c>
      <c r="E251" s="26">
        <v>6.7169999999999996</v>
      </c>
    </row>
    <row r="252" spans="1:5">
      <c r="A252" s="95"/>
      <c r="B252" s="93"/>
      <c r="C252" s="8" t="s">
        <v>228</v>
      </c>
      <c r="D252" s="8">
        <v>52.920999999999999</v>
      </c>
      <c r="E252" s="26">
        <v>8.0039999999999996</v>
      </c>
    </row>
    <row r="253" spans="1:5">
      <c r="A253" s="95"/>
      <c r="B253" s="94"/>
      <c r="C253" s="27" t="s">
        <v>229</v>
      </c>
      <c r="D253" s="35">
        <v>16.149999999999999</v>
      </c>
      <c r="E253" s="28">
        <v>5.3449999999999998</v>
      </c>
    </row>
    <row r="254" spans="1:5">
      <c r="A254" s="95"/>
      <c r="B254" s="92">
        <v>12.844082066747401</v>
      </c>
      <c r="C254" s="24" t="s">
        <v>225</v>
      </c>
      <c r="D254" s="24">
        <v>26.276</v>
      </c>
      <c r="E254" s="36">
        <v>8.07</v>
      </c>
    </row>
    <row r="255" spans="1:5">
      <c r="A255" s="95"/>
      <c r="B255" s="93"/>
      <c r="C255" s="8" t="s">
        <v>227</v>
      </c>
      <c r="D255" s="33">
        <v>1</v>
      </c>
      <c r="E255" s="26" t="s">
        <v>34</v>
      </c>
    </row>
    <row r="256" spans="1:5">
      <c r="A256" s="95"/>
      <c r="B256" s="93"/>
      <c r="C256" s="8" t="s">
        <v>228</v>
      </c>
      <c r="D256" s="8" t="s">
        <v>34</v>
      </c>
      <c r="E256" s="26" t="s">
        <v>34</v>
      </c>
    </row>
    <row r="257" spans="1:5">
      <c r="A257" s="95"/>
      <c r="B257" s="94"/>
      <c r="C257" s="27" t="s">
        <v>229</v>
      </c>
      <c r="D257" s="35">
        <v>25</v>
      </c>
      <c r="E257" s="28" t="s">
        <v>34</v>
      </c>
    </row>
    <row r="258" spans="1:5">
      <c r="A258" s="95"/>
      <c r="B258" s="92">
        <v>11.139438061733999</v>
      </c>
      <c r="C258" s="24" t="s">
        <v>225</v>
      </c>
      <c r="D258" s="24">
        <v>42.719000000000001</v>
      </c>
      <c r="E258" s="25">
        <v>9.6319999999999997</v>
      </c>
    </row>
    <row r="259" spans="1:5">
      <c r="A259" s="95"/>
      <c r="B259" s="93"/>
      <c r="C259" s="8" t="s">
        <v>227</v>
      </c>
      <c r="D259" s="8" t="s">
        <v>34</v>
      </c>
      <c r="E259" s="26" t="s">
        <v>34</v>
      </c>
    </row>
    <row r="260" spans="1:5">
      <c r="A260" s="95"/>
      <c r="B260" s="93"/>
      <c r="C260" s="8" t="s">
        <v>228</v>
      </c>
      <c r="D260" s="8">
        <v>75.963999999999999</v>
      </c>
      <c r="E260" s="26">
        <v>19.673999999999999</v>
      </c>
    </row>
    <row r="261" spans="1:5">
      <c r="A261" s="95"/>
      <c r="B261" s="94"/>
      <c r="C261" s="27" t="s">
        <v>229</v>
      </c>
      <c r="D261" s="27">
        <v>6.6669999999999998</v>
      </c>
      <c r="E261" s="28">
        <v>2.4039999999999999</v>
      </c>
    </row>
    <row r="262" spans="1:5">
      <c r="A262" s="95"/>
      <c r="B262" s="92">
        <v>11.0957376638142</v>
      </c>
      <c r="C262" s="24" t="s">
        <v>225</v>
      </c>
      <c r="D262" s="24">
        <v>34.405000000000001</v>
      </c>
      <c r="E262" s="25">
        <v>9.6150000000000002</v>
      </c>
    </row>
    <row r="263" spans="1:5">
      <c r="A263" s="95"/>
      <c r="B263" s="93"/>
      <c r="C263" s="8" t="s">
        <v>227</v>
      </c>
      <c r="D263" s="8" t="s">
        <v>34</v>
      </c>
      <c r="E263" s="26" t="s">
        <v>34</v>
      </c>
    </row>
    <row r="264" spans="1:5">
      <c r="A264" s="95"/>
      <c r="B264" s="93"/>
      <c r="C264" s="8" t="s">
        <v>228</v>
      </c>
      <c r="D264" s="8">
        <v>49.311999999999998</v>
      </c>
      <c r="E264" s="37">
        <v>10.1</v>
      </c>
    </row>
    <row r="265" spans="1:5">
      <c r="A265" s="95"/>
      <c r="B265" s="94"/>
      <c r="C265" s="27" t="s">
        <v>229</v>
      </c>
      <c r="D265" s="35">
        <v>7.2</v>
      </c>
      <c r="E265" s="28">
        <v>3.0720000000000001</v>
      </c>
    </row>
    <row r="266" spans="1:5">
      <c r="A266" s="95" t="s">
        <v>13</v>
      </c>
      <c r="B266" s="92">
        <v>9.8097434965383901</v>
      </c>
      <c r="C266" s="24" t="s">
        <v>225</v>
      </c>
      <c r="D266" s="34">
        <v>36</v>
      </c>
      <c r="E266" s="25" t="s">
        <v>34</v>
      </c>
    </row>
    <row r="267" spans="1:5">
      <c r="A267" s="95"/>
      <c r="B267" s="93"/>
      <c r="C267" s="8" t="s">
        <v>227</v>
      </c>
      <c r="D267" s="8" t="s">
        <v>34</v>
      </c>
      <c r="E267" s="26" t="s">
        <v>34</v>
      </c>
    </row>
    <row r="268" spans="1:5">
      <c r="A268" s="95"/>
      <c r="B268" s="93"/>
      <c r="C268" s="8" t="s">
        <v>228</v>
      </c>
      <c r="D268" s="33">
        <v>46.25</v>
      </c>
      <c r="E268" s="26">
        <v>9.9779999999999998</v>
      </c>
    </row>
    <row r="269" spans="1:5">
      <c r="A269" s="95"/>
      <c r="B269" s="94"/>
      <c r="C269" s="27" t="s">
        <v>229</v>
      </c>
      <c r="D269" s="27" t="s">
        <v>34</v>
      </c>
      <c r="E269" s="28" t="s">
        <v>34</v>
      </c>
    </row>
    <row r="270" spans="1:5">
      <c r="A270" s="95"/>
      <c r="B270" s="92">
        <v>13.289870274379901</v>
      </c>
      <c r="C270" s="24" t="s">
        <v>225</v>
      </c>
      <c r="D270" s="34">
        <v>43.5</v>
      </c>
      <c r="E270" s="36">
        <v>3.5</v>
      </c>
    </row>
    <row r="271" spans="1:5">
      <c r="A271" s="95"/>
      <c r="B271" s="93"/>
      <c r="C271" s="8" t="s">
        <v>227</v>
      </c>
      <c r="D271" s="8" t="s">
        <v>34</v>
      </c>
      <c r="E271" s="26" t="s">
        <v>34</v>
      </c>
    </row>
    <row r="272" spans="1:5">
      <c r="A272" s="95"/>
      <c r="B272" s="93"/>
      <c r="C272" s="8" t="s">
        <v>228</v>
      </c>
      <c r="D272" s="33">
        <v>46</v>
      </c>
      <c r="E272" s="26">
        <v>1</v>
      </c>
    </row>
    <row r="273" spans="1:5">
      <c r="A273" s="95"/>
      <c r="B273" s="94"/>
      <c r="C273" s="27" t="s">
        <v>229</v>
      </c>
      <c r="D273" s="35">
        <v>47</v>
      </c>
      <c r="E273" s="28" t="s">
        <v>34</v>
      </c>
    </row>
    <row r="274" spans="1:5">
      <c r="A274" s="95"/>
      <c r="B274" s="92">
        <v>10.670492424171201</v>
      </c>
      <c r="C274" s="24" t="s">
        <v>225</v>
      </c>
      <c r="D274" s="34">
        <v>66</v>
      </c>
      <c r="E274" s="25" t="s">
        <v>34</v>
      </c>
    </row>
    <row r="275" spans="1:5">
      <c r="A275" s="95"/>
      <c r="B275" s="93"/>
      <c r="C275" s="8" t="s">
        <v>227</v>
      </c>
      <c r="D275" s="8" t="s">
        <v>34</v>
      </c>
      <c r="E275" s="26" t="s">
        <v>34</v>
      </c>
    </row>
    <row r="276" spans="1:5">
      <c r="A276" s="95"/>
      <c r="B276" s="93"/>
      <c r="C276" s="8" t="s">
        <v>228</v>
      </c>
      <c r="D276" s="8">
        <v>40.332999999999998</v>
      </c>
      <c r="E276" s="26">
        <v>3.0089999999999999</v>
      </c>
    </row>
    <row r="277" spans="1:5">
      <c r="A277" s="95"/>
      <c r="B277" s="94"/>
      <c r="C277" s="27" t="s">
        <v>229</v>
      </c>
      <c r="D277" s="35">
        <v>47.6</v>
      </c>
      <c r="E277" s="28">
        <v>2.5019999999999998</v>
      </c>
    </row>
    <row r="278" spans="1:5">
      <c r="A278" s="95"/>
      <c r="B278" s="92">
        <v>12.0388784868085</v>
      </c>
      <c r="C278" s="24" t="s">
        <v>225</v>
      </c>
      <c r="D278" s="24">
        <v>39.438000000000002</v>
      </c>
      <c r="E278" s="25">
        <v>2.6970000000000001</v>
      </c>
    </row>
    <row r="279" spans="1:5">
      <c r="A279" s="95"/>
      <c r="B279" s="93"/>
      <c r="C279" s="8" t="s">
        <v>227</v>
      </c>
      <c r="D279" s="8">
        <v>48.625</v>
      </c>
      <c r="E279" s="26">
        <v>2.7709999999999999</v>
      </c>
    </row>
    <row r="280" spans="1:5">
      <c r="A280" s="95"/>
      <c r="B280" s="93"/>
      <c r="C280" s="8" t="s">
        <v>228</v>
      </c>
      <c r="D280" s="33">
        <v>41</v>
      </c>
      <c r="E280" s="26">
        <v>3.786</v>
      </c>
    </row>
    <row r="281" spans="1:5">
      <c r="A281" s="95"/>
      <c r="B281" s="94"/>
      <c r="C281" s="27" t="s">
        <v>229</v>
      </c>
      <c r="D281" s="35">
        <v>35</v>
      </c>
      <c r="E281" s="28" t="s">
        <v>34</v>
      </c>
    </row>
    <row r="282" spans="1:5">
      <c r="A282" s="95"/>
      <c r="B282" s="92">
        <v>10.863771875145201</v>
      </c>
      <c r="C282" s="24" t="s">
        <v>225</v>
      </c>
      <c r="D282" s="24">
        <v>37.555999999999997</v>
      </c>
      <c r="E282" s="36">
        <v>2.4500000000000002</v>
      </c>
    </row>
    <row r="283" spans="1:5">
      <c r="A283" s="95"/>
      <c r="B283" s="93"/>
      <c r="C283" s="8" t="s">
        <v>227</v>
      </c>
      <c r="D283" s="33">
        <v>39.5</v>
      </c>
      <c r="E283" s="37">
        <v>0.5</v>
      </c>
    </row>
    <row r="284" spans="1:5">
      <c r="A284" s="95"/>
      <c r="B284" s="93"/>
      <c r="C284" s="8" t="s">
        <v>228</v>
      </c>
      <c r="D284" s="33">
        <v>42</v>
      </c>
      <c r="E284" s="37">
        <v>3</v>
      </c>
    </row>
    <row r="285" spans="1:5">
      <c r="A285" s="95"/>
      <c r="B285" s="94"/>
      <c r="C285" s="27" t="s">
        <v>229</v>
      </c>
      <c r="D285" s="27">
        <v>49</v>
      </c>
      <c r="E285" s="28" t="s">
        <v>34</v>
      </c>
    </row>
    <row r="286" spans="1:5">
      <c r="A286" s="95"/>
      <c r="B286" s="92">
        <v>11.191736578258899</v>
      </c>
      <c r="C286" s="24" t="s">
        <v>225</v>
      </c>
      <c r="D286" s="34">
        <v>53.5</v>
      </c>
      <c r="E286" s="36">
        <v>5.5</v>
      </c>
    </row>
    <row r="287" spans="1:5">
      <c r="A287" s="95"/>
      <c r="B287" s="93"/>
      <c r="C287" s="8" t="s">
        <v>227</v>
      </c>
      <c r="D287" s="8" t="s">
        <v>34</v>
      </c>
      <c r="E287" s="26" t="s">
        <v>34</v>
      </c>
    </row>
    <row r="288" spans="1:5">
      <c r="A288" s="95"/>
      <c r="B288" s="93"/>
      <c r="C288" s="8" t="s">
        <v>228</v>
      </c>
      <c r="D288" s="8">
        <v>46.143000000000001</v>
      </c>
      <c r="E288" s="26">
        <v>3.8820000000000001</v>
      </c>
    </row>
    <row r="289" spans="1:5">
      <c r="A289" s="95"/>
      <c r="B289" s="94"/>
      <c r="C289" s="27" t="s">
        <v>229</v>
      </c>
      <c r="D289" s="27" t="s">
        <v>34</v>
      </c>
      <c r="E289" s="28" t="s">
        <v>34</v>
      </c>
    </row>
    <row r="290" spans="1:5">
      <c r="A290" s="95"/>
      <c r="B290" s="92">
        <v>9.2257199487345201</v>
      </c>
      <c r="C290" s="24" t="s">
        <v>225</v>
      </c>
      <c r="D290" s="24" t="s">
        <v>34</v>
      </c>
      <c r="E290" s="25" t="s">
        <v>34</v>
      </c>
    </row>
    <row r="291" spans="1:5">
      <c r="A291" s="95"/>
      <c r="B291" s="93"/>
      <c r="C291" s="8" t="s">
        <v>227</v>
      </c>
      <c r="D291" s="8" t="s">
        <v>34</v>
      </c>
      <c r="E291" s="26" t="s">
        <v>34</v>
      </c>
    </row>
    <row r="292" spans="1:5">
      <c r="A292" s="95"/>
      <c r="B292" s="93"/>
      <c r="C292" s="8" t="s">
        <v>228</v>
      </c>
      <c r="D292" s="8">
        <v>44.713999999999999</v>
      </c>
      <c r="E292" s="26">
        <v>2.0529999999999999</v>
      </c>
    </row>
    <row r="293" spans="1:5">
      <c r="A293" s="95"/>
      <c r="B293" s="94"/>
      <c r="C293" s="27" t="s">
        <v>229</v>
      </c>
      <c r="D293" s="35">
        <v>48</v>
      </c>
      <c r="E293" s="28">
        <v>7.141</v>
      </c>
    </row>
    <row r="294" spans="1:5">
      <c r="A294" s="95"/>
      <c r="B294" s="92">
        <v>8.6708552293104102</v>
      </c>
      <c r="C294" s="24" t="s">
        <v>225</v>
      </c>
      <c r="D294" s="24">
        <v>38.478000000000002</v>
      </c>
      <c r="E294" s="25">
        <v>2.4510000000000001</v>
      </c>
    </row>
    <row r="295" spans="1:5">
      <c r="A295" s="95"/>
      <c r="B295" s="93"/>
      <c r="C295" s="8" t="s">
        <v>227</v>
      </c>
      <c r="D295" s="8">
        <v>40.125</v>
      </c>
      <c r="E295" s="26">
        <v>2.8719999999999999</v>
      </c>
    </row>
    <row r="296" spans="1:5">
      <c r="A296" s="95"/>
      <c r="B296" s="93"/>
      <c r="C296" s="8" t="s">
        <v>228</v>
      </c>
      <c r="D296" s="8">
        <v>34.064999999999998</v>
      </c>
      <c r="E296" s="26">
        <v>1.258</v>
      </c>
    </row>
    <row r="297" spans="1:5">
      <c r="A297" s="95"/>
      <c r="B297" s="94"/>
      <c r="C297" s="27" t="s">
        <v>229</v>
      </c>
      <c r="D297" s="27">
        <v>43.286000000000001</v>
      </c>
      <c r="E297" s="28">
        <v>2.5840000000000001</v>
      </c>
    </row>
    <row r="298" spans="1:5">
      <c r="A298" s="95"/>
      <c r="B298" s="92">
        <v>12.844082066747401</v>
      </c>
      <c r="C298" s="24" t="s">
        <v>225</v>
      </c>
      <c r="D298" s="34">
        <v>44.7</v>
      </c>
      <c r="E298" s="25">
        <v>3.2290000000000001</v>
      </c>
    </row>
    <row r="299" spans="1:5">
      <c r="A299" s="95"/>
      <c r="B299" s="93"/>
      <c r="C299" s="8" t="s">
        <v>227</v>
      </c>
      <c r="D299" s="33">
        <v>41</v>
      </c>
      <c r="E299" s="26" t="s">
        <v>34</v>
      </c>
    </row>
    <row r="300" spans="1:5">
      <c r="A300" s="95"/>
      <c r="B300" s="93"/>
      <c r="C300" s="8" t="s">
        <v>228</v>
      </c>
      <c r="D300" s="8" t="s">
        <v>34</v>
      </c>
      <c r="E300" s="26" t="s">
        <v>34</v>
      </c>
    </row>
    <row r="301" spans="1:5">
      <c r="A301" s="95"/>
      <c r="B301" s="94"/>
      <c r="C301" s="27" t="s">
        <v>229</v>
      </c>
      <c r="D301" s="35">
        <v>52</v>
      </c>
      <c r="E301" s="28" t="s">
        <v>34</v>
      </c>
    </row>
    <row r="302" spans="1:5">
      <c r="A302" s="95"/>
      <c r="B302" s="92">
        <v>11.139438061733999</v>
      </c>
      <c r="C302" s="24" t="s">
        <v>225</v>
      </c>
      <c r="D302" s="34">
        <v>35</v>
      </c>
      <c r="E302" s="25" t="s">
        <v>34</v>
      </c>
    </row>
    <row r="303" spans="1:5">
      <c r="A303" s="95"/>
      <c r="B303" s="93"/>
      <c r="C303" s="8" t="s">
        <v>227</v>
      </c>
      <c r="D303" s="8" t="s">
        <v>34</v>
      </c>
      <c r="E303" s="26" t="s">
        <v>34</v>
      </c>
    </row>
    <row r="304" spans="1:5">
      <c r="A304" s="95"/>
      <c r="B304" s="93"/>
      <c r="C304" s="8" t="s">
        <v>228</v>
      </c>
      <c r="D304" s="8">
        <v>41.667000000000002</v>
      </c>
      <c r="E304" s="26">
        <v>3.169</v>
      </c>
    </row>
    <row r="305" spans="1:5">
      <c r="A305" s="95"/>
      <c r="B305" s="94"/>
      <c r="C305" s="27" t="s">
        <v>229</v>
      </c>
      <c r="D305" s="35">
        <v>44</v>
      </c>
      <c r="E305" s="38">
        <v>1</v>
      </c>
    </row>
    <row r="306" spans="1:5">
      <c r="A306" s="95"/>
      <c r="B306" s="92">
        <v>11.0957376638142</v>
      </c>
      <c r="C306" s="24" t="s">
        <v>225</v>
      </c>
      <c r="D306" s="24">
        <v>47.832999999999998</v>
      </c>
      <c r="E306" s="25">
        <v>7.0350000000000001</v>
      </c>
    </row>
    <row r="307" spans="1:5">
      <c r="A307" s="95"/>
      <c r="B307" s="93"/>
      <c r="C307" s="8" t="s">
        <v>227</v>
      </c>
      <c r="D307" s="8" t="s">
        <v>34</v>
      </c>
      <c r="E307" s="26" t="s">
        <v>34</v>
      </c>
    </row>
    <row r="308" spans="1:5">
      <c r="A308" s="95"/>
      <c r="B308" s="93"/>
      <c r="C308" s="8" t="s">
        <v>228</v>
      </c>
      <c r="D308" s="33">
        <v>43</v>
      </c>
      <c r="E308" s="26">
        <v>4.4850000000000003</v>
      </c>
    </row>
    <row r="309" spans="1:5">
      <c r="A309" s="95"/>
      <c r="B309" s="94"/>
      <c r="C309" s="8" t="s">
        <v>229</v>
      </c>
      <c r="D309" s="8">
        <v>47.332999999999998</v>
      </c>
      <c r="E309" s="26">
        <v>5.3579999999999997</v>
      </c>
    </row>
    <row r="310" spans="1:5">
      <c r="A310" s="95" t="s">
        <v>36</v>
      </c>
      <c r="B310" s="92">
        <v>9.8097434965383901</v>
      </c>
      <c r="C310" s="24" t="s">
        <v>225</v>
      </c>
      <c r="D310" s="34">
        <v>0.05</v>
      </c>
      <c r="E310" s="36">
        <v>0.05</v>
      </c>
    </row>
    <row r="311" spans="1:5">
      <c r="A311" s="95"/>
      <c r="B311" s="93"/>
      <c r="C311" s="8" t="s">
        <v>227</v>
      </c>
      <c r="D311" s="33" t="s">
        <v>34</v>
      </c>
      <c r="E311" s="37" t="s">
        <v>34</v>
      </c>
    </row>
    <row r="312" spans="1:5">
      <c r="A312" s="95"/>
      <c r="B312" s="93"/>
      <c r="C312" s="8" t="s">
        <v>228</v>
      </c>
      <c r="D312" s="33">
        <v>0.2</v>
      </c>
      <c r="E312" s="37">
        <v>9.1766E-2</v>
      </c>
    </row>
    <row r="313" spans="1:5">
      <c r="A313" s="95"/>
      <c r="B313" s="94"/>
      <c r="C313" s="27" t="s">
        <v>229</v>
      </c>
      <c r="D313" s="35">
        <v>0</v>
      </c>
      <c r="E313" s="38">
        <v>0</v>
      </c>
    </row>
    <row r="314" spans="1:5">
      <c r="A314" s="95"/>
      <c r="B314" s="92">
        <v>13.289870274379901</v>
      </c>
      <c r="C314" s="24" t="s">
        <v>225</v>
      </c>
      <c r="D314" s="34">
        <v>6.0606E-2</v>
      </c>
      <c r="E314" s="36">
        <v>4.2180000000000002E-2</v>
      </c>
    </row>
    <row r="315" spans="1:5">
      <c r="A315" s="95"/>
      <c r="B315" s="93"/>
      <c r="C315" s="8" t="s">
        <v>227</v>
      </c>
      <c r="D315" s="33" t="s">
        <v>34</v>
      </c>
      <c r="E315" s="37" t="s">
        <v>34</v>
      </c>
    </row>
    <row r="316" spans="1:5">
      <c r="A316" s="95"/>
      <c r="B316" s="93"/>
      <c r="C316" s="8" t="s">
        <v>228</v>
      </c>
      <c r="D316" s="33">
        <v>0.33333299999999999</v>
      </c>
      <c r="E316" s="37">
        <v>0.16666700000000001</v>
      </c>
    </row>
    <row r="317" spans="1:5">
      <c r="A317" s="95"/>
      <c r="B317" s="94"/>
      <c r="C317" s="27" t="s">
        <v>229</v>
      </c>
      <c r="D317" s="35">
        <v>0.25</v>
      </c>
      <c r="E317" s="38">
        <v>0.25</v>
      </c>
    </row>
    <row r="318" spans="1:5">
      <c r="A318" s="95"/>
      <c r="B318" s="92">
        <v>10.670492424171201</v>
      </c>
      <c r="C318" s="24" t="s">
        <v>225</v>
      </c>
      <c r="D318" s="34">
        <v>2.4389999999999998E-2</v>
      </c>
      <c r="E318" s="36">
        <v>2.4389999999999998E-2</v>
      </c>
    </row>
    <row r="319" spans="1:5">
      <c r="A319" s="95"/>
      <c r="B319" s="93"/>
      <c r="C319" s="8" t="s">
        <v>227</v>
      </c>
      <c r="D319" s="33" t="s">
        <v>34</v>
      </c>
      <c r="E319" s="37" t="s">
        <v>34</v>
      </c>
    </row>
    <row r="320" spans="1:5">
      <c r="A320" s="95"/>
      <c r="B320" s="93"/>
      <c r="C320" s="8" t="s">
        <v>228</v>
      </c>
      <c r="D320" s="33">
        <v>0.1875</v>
      </c>
      <c r="E320" s="37">
        <v>5.6932999999999997E-2</v>
      </c>
    </row>
    <row r="321" spans="1:5">
      <c r="A321" s="95"/>
      <c r="B321" s="94"/>
      <c r="C321" s="27" t="s">
        <v>229</v>
      </c>
      <c r="D321" s="35">
        <v>0.13513500000000001</v>
      </c>
      <c r="E321" s="38">
        <v>5.6978000000000001E-2</v>
      </c>
    </row>
    <row r="322" spans="1:5">
      <c r="A322" s="95"/>
      <c r="B322" s="92">
        <v>12.0388784868085</v>
      </c>
      <c r="C322" s="24" t="s">
        <v>225</v>
      </c>
      <c r="D322" s="34">
        <v>0.43243199999999998</v>
      </c>
      <c r="E322" s="36">
        <v>8.2569000000000004E-2</v>
      </c>
    </row>
    <row r="323" spans="1:5">
      <c r="A323" s="95"/>
      <c r="B323" s="93"/>
      <c r="C323" s="8" t="s">
        <v>227</v>
      </c>
      <c r="D323" s="33">
        <v>0.296296</v>
      </c>
      <c r="E323" s="37">
        <v>8.9551000000000006E-2</v>
      </c>
    </row>
    <row r="324" spans="1:5">
      <c r="A324" s="95"/>
      <c r="B324" s="93"/>
      <c r="C324" s="8" t="s">
        <v>228</v>
      </c>
      <c r="D324" s="33">
        <v>0.33333299999999999</v>
      </c>
      <c r="E324" s="37">
        <v>0.16666700000000001</v>
      </c>
    </row>
    <row r="325" spans="1:5">
      <c r="A325" s="95"/>
      <c r="B325" s="94"/>
      <c r="C325" s="27" t="s">
        <v>229</v>
      </c>
      <c r="D325" s="35">
        <v>0.1</v>
      </c>
      <c r="E325" s="38">
        <v>0.1</v>
      </c>
    </row>
    <row r="326" spans="1:5">
      <c r="A326" s="95"/>
      <c r="B326" s="92">
        <v>10.863771875145201</v>
      </c>
      <c r="C326" s="24" t="s">
        <v>225</v>
      </c>
      <c r="D326" s="34">
        <v>0.264706</v>
      </c>
      <c r="E326" s="36">
        <v>7.6799000000000006E-2</v>
      </c>
    </row>
    <row r="327" spans="1:5">
      <c r="A327" s="95"/>
      <c r="B327" s="93"/>
      <c r="C327" s="8" t="s">
        <v>227</v>
      </c>
      <c r="D327" s="33">
        <v>7.4074000000000001E-2</v>
      </c>
      <c r="E327" s="37">
        <v>5.1360999999999997E-2</v>
      </c>
    </row>
    <row r="328" spans="1:5">
      <c r="A328" s="95"/>
      <c r="B328" s="93"/>
      <c r="C328" s="8" t="s">
        <v>228</v>
      </c>
      <c r="D328" s="33">
        <v>0.121212</v>
      </c>
      <c r="E328" s="37">
        <v>5.7695000000000003E-2</v>
      </c>
    </row>
    <row r="329" spans="1:5">
      <c r="A329" s="95"/>
      <c r="B329" s="94"/>
      <c r="C329" s="27" t="s">
        <v>229</v>
      </c>
      <c r="D329" s="35">
        <v>4.1667000000000003E-2</v>
      </c>
      <c r="E329" s="38">
        <v>4.1667000000000003E-2</v>
      </c>
    </row>
    <row r="330" spans="1:5">
      <c r="A330" s="95"/>
      <c r="B330" s="92">
        <v>11.191736578258899</v>
      </c>
      <c r="C330" s="24" t="s">
        <v>225</v>
      </c>
      <c r="D330" s="34">
        <v>4.4443999999999997E-2</v>
      </c>
      <c r="E330" s="36">
        <v>3.1067999999999998E-2</v>
      </c>
    </row>
    <row r="331" spans="1:5">
      <c r="A331" s="95"/>
      <c r="B331" s="93"/>
      <c r="C331" s="8" t="s">
        <v>227</v>
      </c>
      <c r="D331" s="33" t="s">
        <v>34</v>
      </c>
      <c r="E331" s="37" t="s">
        <v>34</v>
      </c>
    </row>
    <row r="332" spans="1:5">
      <c r="A332" s="95"/>
      <c r="B332" s="93"/>
      <c r="C332" s="8" t="s">
        <v>228</v>
      </c>
      <c r="D332" s="33">
        <v>0.152174</v>
      </c>
      <c r="E332" s="37">
        <v>5.3545000000000002E-2</v>
      </c>
    </row>
    <row r="333" spans="1:5">
      <c r="A333" s="95"/>
      <c r="B333" s="94"/>
      <c r="C333" s="27" t="s">
        <v>229</v>
      </c>
      <c r="D333" s="35">
        <v>0</v>
      </c>
      <c r="E333" s="38">
        <v>0</v>
      </c>
    </row>
    <row r="334" spans="1:5">
      <c r="A334" s="95"/>
      <c r="B334" s="92">
        <v>9.2257199487345201</v>
      </c>
      <c r="C334" s="24" t="s">
        <v>225</v>
      </c>
      <c r="D334" s="34" t="s">
        <v>34</v>
      </c>
      <c r="E334" s="36" t="s">
        <v>34</v>
      </c>
    </row>
    <row r="335" spans="1:5">
      <c r="A335" s="95"/>
      <c r="B335" s="93"/>
      <c r="C335" s="8" t="s">
        <v>227</v>
      </c>
      <c r="D335" s="33" t="s">
        <v>34</v>
      </c>
      <c r="E335" s="37" t="s">
        <v>34</v>
      </c>
    </row>
    <row r="336" spans="1:5">
      <c r="A336" s="95"/>
      <c r="B336" s="93"/>
      <c r="C336" s="8" t="s">
        <v>228</v>
      </c>
      <c r="D336" s="33">
        <v>0.368421</v>
      </c>
      <c r="E336" s="37">
        <v>7.9301999999999997E-2</v>
      </c>
    </row>
    <row r="337" spans="1:5">
      <c r="A337" s="95"/>
      <c r="B337" s="94"/>
      <c r="C337" s="27" t="s">
        <v>229</v>
      </c>
      <c r="D337" s="35">
        <v>0.13333300000000001</v>
      </c>
      <c r="E337" s="38">
        <v>6.3124E-2</v>
      </c>
    </row>
    <row r="338" spans="1:5">
      <c r="A338" s="95"/>
      <c r="B338" s="92">
        <v>8.6708552293104102</v>
      </c>
      <c r="C338" s="24" t="s">
        <v>225</v>
      </c>
      <c r="D338" s="34">
        <v>0.69696999999999998</v>
      </c>
      <c r="E338" s="36">
        <v>8.1240999999999994E-2</v>
      </c>
    </row>
    <row r="339" spans="1:5">
      <c r="A339" s="95"/>
      <c r="B339" s="93"/>
      <c r="C339" s="8" t="s">
        <v>227</v>
      </c>
      <c r="D339" s="33">
        <v>0.59259300000000004</v>
      </c>
      <c r="E339" s="37">
        <v>9.6362000000000003E-2</v>
      </c>
    </row>
    <row r="340" spans="1:5">
      <c r="A340" s="95"/>
      <c r="B340" s="93"/>
      <c r="C340" s="8" t="s">
        <v>228</v>
      </c>
      <c r="D340" s="33">
        <v>0.70454499999999998</v>
      </c>
      <c r="E340" s="37">
        <v>6.9577E-2</v>
      </c>
    </row>
    <row r="341" spans="1:5">
      <c r="A341" s="95"/>
      <c r="B341" s="94"/>
      <c r="C341" s="27" t="s">
        <v>229</v>
      </c>
      <c r="D341" s="35">
        <v>0.63636400000000004</v>
      </c>
      <c r="E341" s="38">
        <v>8.5038000000000002E-2</v>
      </c>
    </row>
    <row r="342" spans="1:5">
      <c r="A342" s="95"/>
      <c r="B342" s="92">
        <v>12.844082066747401</v>
      </c>
      <c r="C342" s="24" t="s">
        <v>225</v>
      </c>
      <c r="D342" s="34">
        <v>0.38461499999999998</v>
      </c>
      <c r="E342" s="36">
        <v>9.7300999999999999E-2</v>
      </c>
    </row>
    <row r="343" spans="1:5">
      <c r="A343" s="95"/>
      <c r="B343" s="93"/>
      <c r="C343" s="8" t="s">
        <v>227</v>
      </c>
      <c r="D343" s="33">
        <v>0.14285700000000001</v>
      </c>
      <c r="E343" s="37">
        <v>0.14285700000000001</v>
      </c>
    </row>
    <row r="344" spans="1:5">
      <c r="A344" s="95"/>
      <c r="B344" s="93"/>
      <c r="C344" s="8" t="s">
        <v>228</v>
      </c>
      <c r="D344" s="33">
        <v>0</v>
      </c>
      <c r="E344" s="37">
        <v>0</v>
      </c>
    </row>
    <row r="345" spans="1:5">
      <c r="A345" s="95"/>
      <c r="B345" s="94"/>
      <c r="C345" s="27" t="s">
        <v>229</v>
      </c>
      <c r="D345" s="35">
        <v>0.25</v>
      </c>
      <c r="E345" s="38">
        <v>0.25</v>
      </c>
    </row>
    <row r="346" spans="1:5">
      <c r="A346" s="95"/>
      <c r="B346" s="92">
        <v>11.139438061733999</v>
      </c>
      <c r="C346" s="24" t="s">
        <v>225</v>
      </c>
      <c r="D346" s="34">
        <v>3.0303E-2</v>
      </c>
      <c r="E346" s="36">
        <v>3.0303E-2</v>
      </c>
    </row>
    <row r="347" spans="1:5">
      <c r="A347" s="95"/>
      <c r="B347" s="93"/>
      <c r="C347" s="8" t="s">
        <v>227</v>
      </c>
      <c r="D347" s="33" t="s">
        <v>34</v>
      </c>
      <c r="E347" s="37" t="s">
        <v>34</v>
      </c>
    </row>
    <row r="348" spans="1:5">
      <c r="A348" s="95"/>
      <c r="B348" s="93"/>
      <c r="C348" s="8" t="s">
        <v>228</v>
      </c>
      <c r="D348" s="33">
        <v>0.171429</v>
      </c>
      <c r="E348" s="37">
        <v>6.4634999999999998E-2</v>
      </c>
    </row>
    <row r="349" spans="1:5">
      <c r="A349" s="95"/>
      <c r="B349" s="94"/>
      <c r="C349" s="27" t="s">
        <v>229</v>
      </c>
      <c r="D349" s="35">
        <v>6.25E-2</v>
      </c>
      <c r="E349" s="38">
        <v>4.3476000000000001E-2</v>
      </c>
    </row>
    <row r="350" spans="1:5">
      <c r="A350" s="95"/>
      <c r="B350" s="92">
        <v>11.0957376638142</v>
      </c>
      <c r="C350" s="24" t="s">
        <v>225</v>
      </c>
      <c r="D350" s="34">
        <v>0.4</v>
      </c>
      <c r="E350" s="36">
        <v>0.13093099999999999</v>
      </c>
    </row>
    <row r="351" spans="1:5">
      <c r="A351" s="95"/>
      <c r="B351" s="93"/>
      <c r="C351" s="8" t="s">
        <v>227</v>
      </c>
      <c r="D351" s="33" t="s">
        <v>34</v>
      </c>
      <c r="E351" s="37" t="s">
        <v>34</v>
      </c>
    </row>
    <row r="352" spans="1:5">
      <c r="A352" s="95"/>
      <c r="B352" s="93"/>
      <c r="C352" s="8" t="s">
        <v>228</v>
      </c>
      <c r="D352" s="33">
        <v>0.47368399999999999</v>
      </c>
      <c r="E352" s="37">
        <v>0.117688</v>
      </c>
    </row>
    <row r="353" spans="1:5">
      <c r="A353" s="95"/>
      <c r="B353" s="94"/>
      <c r="C353" s="27" t="s">
        <v>229</v>
      </c>
      <c r="D353" s="35">
        <v>0.461538</v>
      </c>
      <c r="E353" s="38">
        <v>0.14391000000000001</v>
      </c>
    </row>
  </sheetData>
  <mergeCells count="96">
    <mergeCell ref="A2:A45"/>
    <mergeCell ref="B38:B41"/>
    <mergeCell ref="B42:B45"/>
    <mergeCell ref="B66:B69"/>
    <mergeCell ref="B70:B73"/>
    <mergeCell ref="B74:B77"/>
    <mergeCell ref="B78:B81"/>
    <mergeCell ref="B2:B5"/>
    <mergeCell ref="B6:B9"/>
    <mergeCell ref="B10:B13"/>
    <mergeCell ref="B14:B17"/>
    <mergeCell ref="B18:B21"/>
    <mergeCell ref="B22:B25"/>
    <mergeCell ref="B26:B29"/>
    <mergeCell ref="B30:B33"/>
    <mergeCell ref="B34:B37"/>
    <mergeCell ref="B82:B85"/>
    <mergeCell ref="B86:B89"/>
    <mergeCell ref="A90:A133"/>
    <mergeCell ref="B90:B93"/>
    <mergeCell ref="B94:B97"/>
    <mergeCell ref="B98:B101"/>
    <mergeCell ref="B102:B105"/>
    <mergeCell ref="B106:B109"/>
    <mergeCell ref="B110:B113"/>
    <mergeCell ref="B114:B117"/>
    <mergeCell ref="A46:A89"/>
    <mergeCell ref="B46:B49"/>
    <mergeCell ref="B50:B53"/>
    <mergeCell ref="B54:B57"/>
    <mergeCell ref="B58:B61"/>
    <mergeCell ref="B62:B65"/>
    <mergeCell ref="B118:B121"/>
    <mergeCell ref="B122:B125"/>
    <mergeCell ref="B126:B129"/>
    <mergeCell ref="B130:B133"/>
    <mergeCell ref="A134:A177"/>
    <mergeCell ref="B134:B137"/>
    <mergeCell ref="B138:B141"/>
    <mergeCell ref="B142:B145"/>
    <mergeCell ref="B146:B149"/>
    <mergeCell ref="B150:B153"/>
    <mergeCell ref="B198:B201"/>
    <mergeCell ref="B202:B205"/>
    <mergeCell ref="B206:B209"/>
    <mergeCell ref="B210:B213"/>
    <mergeCell ref="B154:B157"/>
    <mergeCell ref="B158:B161"/>
    <mergeCell ref="B162:B165"/>
    <mergeCell ref="B166:B169"/>
    <mergeCell ref="B170:B173"/>
    <mergeCell ref="B174:B177"/>
    <mergeCell ref="B214:B217"/>
    <mergeCell ref="B218:B221"/>
    <mergeCell ref="A222:A265"/>
    <mergeCell ref="B222:B225"/>
    <mergeCell ref="B226:B229"/>
    <mergeCell ref="B230:B233"/>
    <mergeCell ref="B234:B237"/>
    <mergeCell ref="B238:B241"/>
    <mergeCell ref="B242:B245"/>
    <mergeCell ref="B246:B249"/>
    <mergeCell ref="A178:A221"/>
    <mergeCell ref="B178:B181"/>
    <mergeCell ref="B182:B185"/>
    <mergeCell ref="B186:B189"/>
    <mergeCell ref="B190:B193"/>
    <mergeCell ref="B194:B197"/>
    <mergeCell ref="A266:A309"/>
    <mergeCell ref="B266:B269"/>
    <mergeCell ref="B270:B273"/>
    <mergeCell ref="B274:B277"/>
    <mergeCell ref="B278:B281"/>
    <mergeCell ref="B282:B285"/>
    <mergeCell ref="B306:B309"/>
    <mergeCell ref="B290:B293"/>
    <mergeCell ref="B294:B297"/>
    <mergeCell ref="B298:B301"/>
    <mergeCell ref="B302:B305"/>
    <mergeCell ref="B250:B253"/>
    <mergeCell ref="B254:B257"/>
    <mergeCell ref="B258:B261"/>
    <mergeCell ref="B262:B265"/>
    <mergeCell ref="B286:B289"/>
    <mergeCell ref="B346:B349"/>
    <mergeCell ref="B350:B353"/>
    <mergeCell ref="A310:A353"/>
    <mergeCell ref="B310:B313"/>
    <mergeCell ref="B314:B317"/>
    <mergeCell ref="B318:B321"/>
    <mergeCell ref="B322:B325"/>
    <mergeCell ref="B326:B329"/>
    <mergeCell ref="B330:B333"/>
    <mergeCell ref="B334:B337"/>
    <mergeCell ref="B338:B341"/>
    <mergeCell ref="B342:B345"/>
  </mergeCell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9932-9821-414F-BE06-B801BD4FD926}">
  <dimension ref="A1:G17"/>
  <sheetViews>
    <sheetView zoomScale="120" zoomScaleNormal="120" workbookViewId="0">
      <selection activeCell="F12" sqref="A1:F12"/>
    </sheetView>
  </sheetViews>
  <sheetFormatPr baseColWidth="10" defaultRowHeight="16"/>
  <cols>
    <col min="1" max="1" width="4.6640625" style="49" bestFit="1" customWidth="1"/>
    <col min="2" max="2" width="5.6640625" style="49" bestFit="1" customWidth="1"/>
    <col min="3" max="3" width="10" style="49" bestFit="1" customWidth="1"/>
    <col min="4" max="4" width="8" style="49" bestFit="1" customWidth="1"/>
    <col min="5" max="5" width="11" style="49" bestFit="1" customWidth="1"/>
    <col min="6" max="6" width="12.5" style="49" bestFit="1" customWidth="1"/>
    <col min="7" max="16384" width="10.83203125" style="49"/>
  </cols>
  <sheetData>
    <row r="1" spans="1:7">
      <c r="A1" s="74" t="s">
        <v>213</v>
      </c>
      <c r="B1" s="74" t="s">
        <v>90</v>
      </c>
      <c r="C1" s="74" t="s">
        <v>22</v>
      </c>
      <c r="D1" s="74" t="s">
        <v>23</v>
      </c>
      <c r="E1" s="74" t="s">
        <v>205</v>
      </c>
      <c r="F1" s="74" t="s">
        <v>206</v>
      </c>
      <c r="G1" s="50"/>
    </row>
    <row r="2" spans="1:7">
      <c r="A2" s="75">
        <v>1</v>
      </c>
      <c r="B2" s="76" t="s">
        <v>91</v>
      </c>
      <c r="C2" s="77">
        <v>23.9138709677419</v>
      </c>
      <c r="D2" s="77">
        <v>19.904301075268801</v>
      </c>
      <c r="E2" s="77">
        <v>3.62088172043011</v>
      </c>
      <c r="F2" s="77">
        <v>9.8097434965383901</v>
      </c>
      <c r="G2" s="51"/>
    </row>
    <row r="3" spans="1:7">
      <c r="A3" s="75">
        <v>3</v>
      </c>
      <c r="B3" s="76" t="s">
        <v>91</v>
      </c>
      <c r="C3" s="77">
        <v>71.996774193548404</v>
      </c>
      <c r="D3" s="77">
        <v>12.489247311828001</v>
      </c>
      <c r="E3" s="77">
        <v>2.0166881720430099</v>
      </c>
      <c r="F3" s="77">
        <v>13.289870274379901</v>
      </c>
      <c r="G3" s="51"/>
    </row>
    <row r="4" spans="1:7">
      <c r="A4" s="75">
        <v>4</v>
      </c>
      <c r="B4" s="76" t="s">
        <v>91</v>
      </c>
      <c r="C4" s="77">
        <v>58.762903225806497</v>
      </c>
      <c r="D4" s="77">
        <v>17.555913978494601</v>
      </c>
      <c r="E4" s="77">
        <v>3.26145161290323</v>
      </c>
      <c r="F4" s="77">
        <v>10.670492424171201</v>
      </c>
      <c r="G4" s="51"/>
    </row>
    <row r="5" spans="1:7">
      <c r="A5" s="75">
        <v>5</v>
      </c>
      <c r="B5" s="76" t="s">
        <v>92</v>
      </c>
      <c r="C5" s="77">
        <v>59.02</v>
      </c>
      <c r="D5" s="77">
        <v>16.461290322580599</v>
      </c>
      <c r="E5" s="77">
        <v>2.74702150537634</v>
      </c>
      <c r="F5" s="77">
        <v>12.0388784868085</v>
      </c>
      <c r="G5" s="51"/>
    </row>
    <row r="6" spans="1:7">
      <c r="A6" s="75">
        <v>6</v>
      </c>
      <c r="B6" s="76" t="s">
        <v>93</v>
      </c>
      <c r="C6" s="77">
        <v>29.000967741935501</v>
      </c>
      <c r="D6" s="77">
        <v>17.808602150537599</v>
      </c>
      <c r="E6" s="77">
        <v>3.3919784946236602</v>
      </c>
      <c r="F6" s="77">
        <v>10.863771875145201</v>
      </c>
      <c r="G6" s="51"/>
    </row>
    <row r="7" spans="1:7">
      <c r="A7" s="75">
        <v>7</v>
      </c>
      <c r="B7" s="76" t="s">
        <v>93</v>
      </c>
      <c r="C7" s="77">
        <v>29.7751612903226</v>
      </c>
      <c r="D7" s="77">
        <v>13.1827956989247</v>
      </c>
      <c r="E7" s="77">
        <v>2.4620430107526898</v>
      </c>
      <c r="F7" s="77">
        <v>11.191736578258899</v>
      </c>
      <c r="G7" s="51"/>
    </row>
    <row r="8" spans="1:7">
      <c r="A8" s="75">
        <v>8</v>
      </c>
      <c r="B8" s="76" t="s">
        <v>94</v>
      </c>
      <c r="C8" s="77">
        <v>35.9838709677419</v>
      </c>
      <c r="D8" s="77">
        <v>16.6537634408602</v>
      </c>
      <c r="E8" s="77">
        <v>3.10291397849462</v>
      </c>
      <c r="F8" s="77">
        <v>9.2257199487345201</v>
      </c>
      <c r="G8" s="51"/>
    </row>
    <row r="9" spans="1:7">
      <c r="A9" s="75">
        <v>9</v>
      </c>
      <c r="B9" s="76" t="s">
        <v>93</v>
      </c>
      <c r="C9" s="77">
        <v>26.4954838709677</v>
      </c>
      <c r="D9" s="77">
        <v>20.538709677419401</v>
      </c>
      <c r="E9" s="77">
        <v>3.58602150537634</v>
      </c>
      <c r="F9" s="77">
        <v>8.6708552293104102</v>
      </c>
      <c r="G9" s="51"/>
    </row>
    <row r="10" spans="1:7">
      <c r="A10" s="75">
        <v>10</v>
      </c>
      <c r="B10" s="76" t="s">
        <v>94</v>
      </c>
      <c r="C10" s="77">
        <v>58.086451612903197</v>
      </c>
      <c r="D10" s="77">
        <v>13.994623655913999</v>
      </c>
      <c r="E10" s="77">
        <v>2.39647311827957</v>
      </c>
      <c r="F10" s="77">
        <v>12.844082066747401</v>
      </c>
      <c r="G10" s="51"/>
    </row>
    <row r="11" spans="1:7">
      <c r="A11" s="75">
        <v>11</v>
      </c>
      <c r="B11" s="76" t="s">
        <v>94</v>
      </c>
      <c r="C11" s="77">
        <v>53.365806451612897</v>
      </c>
      <c r="D11" s="77">
        <v>15.9086021505376</v>
      </c>
      <c r="E11" s="77">
        <v>2.7985698924731199</v>
      </c>
      <c r="F11" s="77">
        <v>11.139438061733999</v>
      </c>
      <c r="G11" s="51"/>
    </row>
    <row r="12" spans="1:7">
      <c r="A12" s="75">
        <v>12</v>
      </c>
      <c r="B12" s="76" t="s">
        <v>91</v>
      </c>
      <c r="C12" s="77">
        <v>48.858709677419398</v>
      </c>
      <c r="D12" s="77">
        <v>16.555913978494601</v>
      </c>
      <c r="E12" s="77">
        <v>2.7627526881720401</v>
      </c>
      <c r="F12" s="77">
        <v>11.0957376638142</v>
      </c>
      <c r="G12" s="51"/>
    </row>
    <row r="16" spans="1:7">
      <c r="E16" s="54"/>
    </row>
    <row r="17" spans="5:5">
      <c r="E17" s="54"/>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B65AE-759C-4A41-B278-59489248D133}">
  <dimension ref="A1:D94"/>
  <sheetViews>
    <sheetView topLeftCell="A59" workbookViewId="0">
      <selection activeCell="A96" sqref="A96"/>
    </sheetView>
  </sheetViews>
  <sheetFormatPr baseColWidth="10" defaultRowHeight="16"/>
  <sheetData>
    <row r="1" spans="1:4">
      <c r="A1" t="s">
        <v>216</v>
      </c>
    </row>
    <row r="2" spans="1:4">
      <c r="A2" t="s">
        <v>214</v>
      </c>
      <c r="B2" t="s">
        <v>33</v>
      </c>
      <c r="C2" t="s">
        <v>26</v>
      </c>
      <c r="D2" t="s">
        <v>215</v>
      </c>
    </row>
    <row r="3" spans="1:4">
      <c r="A3">
        <v>8.6708552293104102</v>
      </c>
      <c r="B3" t="s">
        <v>28</v>
      </c>
      <c r="C3">
        <v>0.29174800000000001</v>
      </c>
      <c r="D3">
        <v>7.5556999999999999E-2</v>
      </c>
    </row>
    <row r="4" spans="1:4">
      <c r="A4">
        <v>8.6708552293104102</v>
      </c>
      <c r="B4" t="s">
        <v>29</v>
      </c>
      <c r="C4">
        <v>0.15243599999999999</v>
      </c>
      <c r="D4">
        <v>4.5395999999999999E-2</v>
      </c>
    </row>
    <row r="5" spans="1:4">
      <c r="A5">
        <v>8.6708552293104102</v>
      </c>
      <c r="B5" t="s">
        <v>30</v>
      </c>
      <c r="C5">
        <v>0.22004899999999999</v>
      </c>
      <c r="D5">
        <v>2.2284000000000002E-2</v>
      </c>
    </row>
    <row r="6" spans="1:4">
      <c r="A6">
        <v>8.6708552293104102</v>
      </c>
      <c r="B6" t="s">
        <v>31</v>
      </c>
      <c r="C6">
        <v>0.21283299999999999</v>
      </c>
      <c r="D6">
        <v>5.7001999999999997E-2</v>
      </c>
    </row>
    <row r="7" spans="1:4">
      <c r="A7">
        <v>9.2257199487345201</v>
      </c>
      <c r="B7" t="s">
        <v>28</v>
      </c>
      <c r="C7">
        <v>0.548655</v>
      </c>
      <c r="D7">
        <v>7.3405999999999999E-2</v>
      </c>
    </row>
    <row r="8" spans="1:4">
      <c r="A8">
        <v>9.2257199487345201</v>
      </c>
      <c r="B8" t="s">
        <v>29</v>
      </c>
      <c r="C8">
        <v>0.200151</v>
      </c>
      <c r="D8">
        <v>2.7344E-2</v>
      </c>
    </row>
    <row r="9" spans="1:4">
      <c r="A9">
        <v>9.2257199487345201</v>
      </c>
      <c r="B9" t="s">
        <v>30</v>
      </c>
      <c r="C9">
        <v>0.48843799999999998</v>
      </c>
      <c r="D9">
        <v>5.1626999999999999E-2</v>
      </c>
    </row>
    <row r="10" spans="1:4">
      <c r="A10">
        <v>9.2257199487345201</v>
      </c>
      <c r="B10" t="s">
        <v>31</v>
      </c>
      <c r="C10">
        <v>0.32170900000000002</v>
      </c>
      <c r="D10">
        <v>4.8427999999999999E-2</v>
      </c>
    </row>
    <row r="11" spans="1:4">
      <c r="A11">
        <v>9.8097434965383901</v>
      </c>
      <c r="B11" t="s">
        <v>28</v>
      </c>
      <c r="C11">
        <v>0.348632</v>
      </c>
      <c r="D11">
        <v>4.1049000000000002E-2</v>
      </c>
    </row>
    <row r="12" spans="1:4">
      <c r="A12">
        <v>9.8097434965383901</v>
      </c>
      <c r="B12" t="s">
        <v>29</v>
      </c>
      <c r="C12">
        <v>0.27481</v>
      </c>
      <c r="D12">
        <v>3.4762000000000001E-2</v>
      </c>
    </row>
    <row r="13" spans="1:4">
      <c r="A13">
        <v>9.8097434965383901</v>
      </c>
      <c r="B13" t="s">
        <v>30</v>
      </c>
      <c r="C13">
        <v>0.428871</v>
      </c>
      <c r="D13">
        <v>3.2548000000000001E-2</v>
      </c>
    </row>
    <row r="14" spans="1:4">
      <c r="A14">
        <v>9.8097434965383901</v>
      </c>
      <c r="B14" t="s">
        <v>31</v>
      </c>
      <c r="C14">
        <v>0.26101999999999997</v>
      </c>
      <c r="D14">
        <v>3.1380999999999999E-2</v>
      </c>
    </row>
    <row r="15" spans="1:4">
      <c r="A15">
        <v>10.670492424171201</v>
      </c>
      <c r="B15" t="s">
        <v>28</v>
      </c>
      <c r="C15">
        <v>0.36661700000000003</v>
      </c>
      <c r="D15">
        <v>3.9005999999999999E-2</v>
      </c>
    </row>
    <row r="16" spans="1:4">
      <c r="A16">
        <v>10.670492424171201</v>
      </c>
      <c r="B16" t="s">
        <v>29</v>
      </c>
      <c r="C16">
        <v>0.194489</v>
      </c>
      <c r="D16">
        <v>2.7889000000000001E-2</v>
      </c>
    </row>
    <row r="17" spans="1:4">
      <c r="A17">
        <v>10.670492424171201</v>
      </c>
      <c r="B17" t="s">
        <v>30</v>
      </c>
      <c r="C17">
        <v>0.36510300000000001</v>
      </c>
      <c r="D17">
        <v>3.8646E-2</v>
      </c>
    </row>
    <row r="18" spans="1:4">
      <c r="A18">
        <v>10.670492424171201</v>
      </c>
      <c r="B18" t="s">
        <v>31</v>
      </c>
      <c r="C18">
        <v>0.18803700000000001</v>
      </c>
      <c r="D18">
        <v>2.8278000000000001E-2</v>
      </c>
    </row>
    <row r="19" spans="1:4">
      <c r="A19">
        <v>10.863771875145201</v>
      </c>
      <c r="B19" t="s">
        <v>28</v>
      </c>
      <c r="C19">
        <v>0.360765</v>
      </c>
      <c r="D19">
        <v>4.3013999999999997E-2</v>
      </c>
    </row>
    <row r="20" spans="1:4">
      <c r="A20">
        <v>10.863771875145201</v>
      </c>
      <c r="B20" t="s">
        <v>29</v>
      </c>
      <c r="C20">
        <v>0.226073</v>
      </c>
      <c r="D20">
        <v>4.7775999999999999E-2</v>
      </c>
    </row>
    <row r="21" spans="1:4">
      <c r="A21">
        <v>10.863771875145201</v>
      </c>
      <c r="B21" t="s">
        <v>30</v>
      </c>
      <c r="C21">
        <v>0.47406999999999999</v>
      </c>
      <c r="D21">
        <v>0.15897</v>
      </c>
    </row>
    <row r="22" spans="1:4">
      <c r="A22">
        <v>10.863771875145201</v>
      </c>
      <c r="B22" t="s">
        <v>31</v>
      </c>
      <c r="C22">
        <v>0.14495</v>
      </c>
      <c r="D22">
        <v>4.7129999999999998E-2</v>
      </c>
    </row>
    <row r="23" spans="1:4">
      <c r="A23">
        <v>11.0957376638142</v>
      </c>
      <c r="B23" t="s">
        <v>28</v>
      </c>
      <c r="C23">
        <v>0.40722599999999998</v>
      </c>
      <c r="D23">
        <v>4.1035000000000002E-2</v>
      </c>
    </row>
    <row r="24" spans="1:4">
      <c r="A24">
        <v>11.0957376638142</v>
      </c>
      <c r="B24" t="s">
        <v>29</v>
      </c>
      <c r="C24">
        <v>0.27180399999999999</v>
      </c>
      <c r="D24">
        <v>2.7882000000000001E-2</v>
      </c>
    </row>
    <row r="25" spans="1:4">
      <c r="A25">
        <v>11.0957376638142</v>
      </c>
      <c r="B25" t="s">
        <v>30</v>
      </c>
      <c r="C25">
        <v>0.61926499999999995</v>
      </c>
      <c r="D25">
        <v>0.191384</v>
      </c>
    </row>
    <row r="26" spans="1:4">
      <c r="A26">
        <v>11.0957376638142</v>
      </c>
      <c r="B26" t="s">
        <v>31</v>
      </c>
      <c r="C26">
        <v>0.28196700000000002</v>
      </c>
      <c r="D26">
        <v>0.15567</v>
      </c>
    </row>
    <row r="27" spans="1:4">
      <c r="A27">
        <v>11.139438061733999</v>
      </c>
      <c r="B27" t="s">
        <v>28</v>
      </c>
      <c r="C27">
        <v>0.383241</v>
      </c>
      <c r="D27">
        <v>5.3891000000000001E-2</v>
      </c>
    </row>
    <row r="28" spans="1:4">
      <c r="A28">
        <v>11.139438061733999</v>
      </c>
      <c r="B28" t="s">
        <v>29</v>
      </c>
      <c r="C28">
        <v>0.18756800000000001</v>
      </c>
      <c r="D28">
        <v>2.2263000000000002E-2</v>
      </c>
    </row>
    <row r="29" spans="1:4">
      <c r="A29">
        <v>11.139438061733999</v>
      </c>
      <c r="B29" t="s">
        <v>30</v>
      </c>
      <c r="C29">
        <v>0.33255299999999999</v>
      </c>
      <c r="D29">
        <v>3.1969999999999998E-2</v>
      </c>
    </row>
    <row r="30" spans="1:4">
      <c r="A30">
        <v>11.139438061733999</v>
      </c>
      <c r="B30" t="s">
        <v>31</v>
      </c>
      <c r="C30">
        <v>0.25049300000000002</v>
      </c>
      <c r="D30">
        <v>3.3592999999999998E-2</v>
      </c>
    </row>
    <row r="31" spans="1:4">
      <c r="A31">
        <v>11.191736578258899</v>
      </c>
      <c r="B31" t="s">
        <v>28</v>
      </c>
      <c r="C31">
        <v>0.33940199999999998</v>
      </c>
      <c r="D31">
        <v>4.3060000000000001E-2</v>
      </c>
    </row>
    <row r="32" spans="1:4">
      <c r="A32">
        <v>11.191736578258899</v>
      </c>
      <c r="B32" t="s">
        <v>29</v>
      </c>
      <c r="C32">
        <v>0.36240299999999998</v>
      </c>
      <c r="D32">
        <v>9.3812999999999994E-2</v>
      </c>
    </row>
    <row r="33" spans="1:4">
      <c r="A33">
        <v>11.191736578258899</v>
      </c>
      <c r="B33" t="s">
        <v>30</v>
      </c>
      <c r="C33">
        <v>0.43322699999999997</v>
      </c>
      <c r="D33">
        <v>9.6333000000000002E-2</v>
      </c>
    </row>
    <row r="34" spans="1:4">
      <c r="A34">
        <v>11.191736578258899</v>
      </c>
      <c r="B34" t="s">
        <v>31</v>
      </c>
      <c r="C34">
        <v>0.10459</v>
      </c>
      <c r="D34" t="s">
        <v>34</v>
      </c>
    </row>
    <row r="35" spans="1:4">
      <c r="A35">
        <v>12.0388784868085</v>
      </c>
      <c r="B35" t="s">
        <v>28</v>
      </c>
      <c r="C35">
        <v>0.313247</v>
      </c>
      <c r="D35">
        <v>9.8993999999999999E-2</v>
      </c>
    </row>
    <row r="36" spans="1:4">
      <c r="A36">
        <v>12.0388784868085</v>
      </c>
      <c r="B36" t="s">
        <v>29</v>
      </c>
      <c r="C36">
        <v>0.28788399999999997</v>
      </c>
      <c r="D36">
        <v>5.4488000000000002E-2</v>
      </c>
    </row>
    <row r="37" spans="1:4">
      <c r="A37">
        <v>12.0388784868085</v>
      </c>
      <c r="B37" t="s">
        <v>30</v>
      </c>
      <c r="C37">
        <v>0.46144800000000002</v>
      </c>
      <c r="D37">
        <v>4.2756000000000002E-2</v>
      </c>
    </row>
    <row r="38" spans="1:4">
      <c r="A38">
        <v>12.0388784868085</v>
      </c>
      <c r="B38" t="s">
        <v>31</v>
      </c>
      <c r="C38">
        <v>0.24962699999999999</v>
      </c>
      <c r="D38">
        <v>3.7260000000000001E-2</v>
      </c>
    </row>
    <row r="39" spans="1:4">
      <c r="A39">
        <v>12.844082066747401</v>
      </c>
      <c r="B39" t="s">
        <v>28</v>
      </c>
      <c r="C39">
        <v>0.30615399999999998</v>
      </c>
      <c r="D39">
        <v>3.4333000000000002E-2</v>
      </c>
    </row>
    <row r="40" spans="1:4">
      <c r="A40">
        <v>12.844082066747401</v>
      </c>
      <c r="B40" t="s">
        <v>29</v>
      </c>
      <c r="C40">
        <v>0.28018500000000002</v>
      </c>
      <c r="D40">
        <v>3.0173999999999999E-2</v>
      </c>
    </row>
    <row r="41" spans="1:4">
      <c r="A41">
        <v>12.844082066747401</v>
      </c>
      <c r="B41" t="s">
        <v>30</v>
      </c>
      <c r="C41">
        <v>0.45214900000000002</v>
      </c>
      <c r="D41">
        <v>4.1836999999999999E-2</v>
      </c>
    </row>
    <row r="42" spans="1:4">
      <c r="A42">
        <v>12.844082066747401</v>
      </c>
      <c r="B42" t="s">
        <v>31</v>
      </c>
      <c r="C42">
        <v>0.25912499999999999</v>
      </c>
      <c r="D42">
        <v>2.9375999999999999E-2</v>
      </c>
    </row>
    <row r="43" spans="1:4">
      <c r="A43">
        <v>13.289870274379901</v>
      </c>
      <c r="B43" t="s">
        <v>28</v>
      </c>
      <c r="C43">
        <v>0.42197699999999999</v>
      </c>
      <c r="D43">
        <v>5.0609000000000001E-2</v>
      </c>
    </row>
    <row r="44" spans="1:4">
      <c r="A44">
        <v>13.289870274379901</v>
      </c>
      <c r="B44" t="s">
        <v>29</v>
      </c>
      <c r="C44">
        <v>0.26158199999999998</v>
      </c>
      <c r="D44">
        <v>3.5568000000000002E-2</v>
      </c>
    </row>
    <row r="45" spans="1:4">
      <c r="A45">
        <v>13.289870274379901</v>
      </c>
      <c r="B45" t="s">
        <v>30</v>
      </c>
      <c r="C45">
        <v>0.42022500000000002</v>
      </c>
      <c r="D45">
        <v>5.2310000000000002E-2</v>
      </c>
    </row>
    <row r="46" spans="1:4">
      <c r="A46">
        <v>13.289870274379901</v>
      </c>
      <c r="B46" t="s">
        <v>31</v>
      </c>
      <c r="C46">
        <v>0.26823599999999997</v>
      </c>
      <c r="D46">
        <v>5.5722000000000001E-2</v>
      </c>
    </row>
    <row r="49" spans="1:4">
      <c r="A49" t="s">
        <v>217</v>
      </c>
    </row>
    <row r="50" spans="1:4">
      <c r="A50" t="s">
        <v>214</v>
      </c>
      <c r="B50" t="s">
        <v>33</v>
      </c>
      <c r="C50" t="s">
        <v>26</v>
      </c>
      <c r="D50" t="s">
        <v>215</v>
      </c>
    </row>
    <row r="51" spans="1:4">
      <c r="A51">
        <v>8.6708552293104102</v>
      </c>
      <c r="B51" t="s">
        <v>28</v>
      </c>
      <c r="C51">
        <v>6.3857999999999998E-2</v>
      </c>
      <c r="D51">
        <v>2.6183000000000001E-2</v>
      </c>
    </row>
    <row r="52" spans="1:4">
      <c r="A52">
        <v>8.6708552293104102</v>
      </c>
      <c r="B52" t="s">
        <v>29</v>
      </c>
      <c r="C52">
        <v>2.5021000000000002E-2</v>
      </c>
      <c r="D52">
        <v>5.3889999999999997E-3</v>
      </c>
    </row>
    <row r="53" spans="1:4">
      <c r="A53">
        <v>8.6708552293104102</v>
      </c>
      <c r="B53" t="s">
        <v>30</v>
      </c>
      <c r="C53">
        <v>4.2241000000000001E-2</v>
      </c>
      <c r="D53">
        <v>1.0470999999999999E-2</v>
      </c>
    </row>
    <row r="54" spans="1:4">
      <c r="A54">
        <v>8.6708552293104102</v>
      </c>
      <c r="B54" t="s">
        <v>31</v>
      </c>
      <c r="C54">
        <v>3.6832999999999998E-2</v>
      </c>
      <c r="D54">
        <v>1.2203E-2</v>
      </c>
    </row>
    <row r="55" spans="1:4">
      <c r="A55">
        <v>9.2257199487345201</v>
      </c>
      <c r="B55" t="s">
        <v>28</v>
      </c>
      <c r="C55">
        <v>0.160271</v>
      </c>
      <c r="D55">
        <v>1.8062000000000002E-2</v>
      </c>
    </row>
    <row r="56" spans="1:4">
      <c r="A56">
        <v>9.2257199487345201</v>
      </c>
      <c r="B56" t="s">
        <v>29</v>
      </c>
      <c r="C56">
        <v>6.0395999999999998E-2</v>
      </c>
      <c r="D56">
        <v>6.4200000000000004E-3</v>
      </c>
    </row>
    <row r="57" spans="1:4">
      <c r="A57">
        <v>9.2257199487345201</v>
      </c>
      <c r="B57" t="s">
        <v>30</v>
      </c>
      <c r="C57">
        <v>0.23596400000000001</v>
      </c>
      <c r="D57">
        <v>1.8082999999999998E-2</v>
      </c>
    </row>
    <row r="58" spans="1:4">
      <c r="A58">
        <v>9.2257199487345201</v>
      </c>
      <c r="B58" t="s">
        <v>31</v>
      </c>
      <c r="C58">
        <v>7.7830999999999997E-2</v>
      </c>
      <c r="D58">
        <v>1.0175E-2</v>
      </c>
    </row>
    <row r="59" spans="1:4">
      <c r="A59">
        <v>9.8097434965383901</v>
      </c>
      <c r="B59" t="s">
        <v>28</v>
      </c>
      <c r="C59">
        <v>0.19903699999999999</v>
      </c>
      <c r="D59">
        <v>2.0032999999999999E-2</v>
      </c>
    </row>
    <row r="60" spans="1:4">
      <c r="A60">
        <v>9.8097434965383901</v>
      </c>
      <c r="B60" t="s">
        <v>29</v>
      </c>
      <c r="C60">
        <v>5.3915999999999999E-2</v>
      </c>
      <c r="D60">
        <v>7.8539999999999999E-3</v>
      </c>
    </row>
    <row r="61" spans="1:4">
      <c r="A61">
        <v>9.8097434965383901</v>
      </c>
      <c r="B61" t="s">
        <v>30</v>
      </c>
      <c r="C61">
        <v>0.22262199999999999</v>
      </c>
      <c r="D61">
        <v>1.9036999999999998E-2</v>
      </c>
    </row>
    <row r="62" spans="1:4">
      <c r="A62">
        <v>9.8097434965383901</v>
      </c>
      <c r="B62" t="s">
        <v>31</v>
      </c>
      <c r="C62">
        <v>5.9192000000000002E-2</v>
      </c>
      <c r="D62">
        <v>9.3650000000000001E-3</v>
      </c>
    </row>
    <row r="63" spans="1:4">
      <c r="A63">
        <v>10.670492424171201</v>
      </c>
      <c r="B63" t="s">
        <v>28</v>
      </c>
      <c r="C63">
        <v>9.5061000000000007E-2</v>
      </c>
      <c r="D63">
        <v>1.2187999999999999E-2</v>
      </c>
    </row>
    <row r="64" spans="1:4">
      <c r="A64">
        <v>10.670492424171201</v>
      </c>
      <c r="B64" t="s">
        <v>29</v>
      </c>
      <c r="C64">
        <v>5.9311999999999997E-2</v>
      </c>
      <c r="D64">
        <v>6.2449999999999997E-3</v>
      </c>
    </row>
    <row r="65" spans="1:4">
      <c r="A65">
        <v>10.670492424171201</v>
      </c>
      <c r="B65" t="s">
        <v>30</v>
      </c>
      <c r="C65">
        <v>8.8089000000000001E-2</v>
      </c>
      <c r="D65">
        <v>8.3529999999999993E-3</v>
      </c>
    </row>
    <row r="66" spans="1:4">
      <c r="A66">
        <v>10.670492424171201</v>
      </c>
      <c r="B66" t="s">
        <v>31</v>
      </c>
      <c r="C66">
        <v>4.9112000000000003E-2</v>
      </c>
      <c r="D66">
        <v>3.6770000000000001E-3</v>
      </c>
    </row>
    <row r="67" spans="1:4">
      <c r="A67">
        <v>10.863771875145201</v>
      </c>
      <c r="B67" t="s">
        <v>28</v>
      </c>
      <c r="C67">
        <v>0.10459499999999999</v>
      </c>
      <c r="D67">
        <v>3.1304999999999999E-2</v>
      </c>
    </row>
    <row r="68" spans="1:4">
      <c r="A68">
        <v>10.863771875145201</v>
      </c>
      <c r="B68" t="s">
        <v>29</v>
      </c>
      <c r="C68">
        <v>3.9419999999999997E-2</v>
      </c>
      <c r="D68">
        <v>6.5440000000000003E-3</v>
      </c>
    </row>
    <row r="69" spans="1:4">
      <c r="A69">
        <v>10.863771875145201</v>
      </c>
      <c r="B69" t="s">
        <v>30</v>
      </c>
      <c r="C69">
        <v>0.46018999999999999</v>
      </c>
      <c r="D69">
        <v>0.19538</v>
      </c>
    </row>
    <row r="70" spans="1:4">
      <c r="A70">
        <v>10.863771875145201</v>
      </c>
      <c r="B70" t="s">
        <v>31</v>
      </c>
      <c r="C70">
        <v>2.3754999999999998E-2</v>
      </c>
      <c r="D70">
        <v>7.3150000000000003E-3</v>
      </c>
    </row>
    <row r="71" spans="1:4">
      <c r="A71">
        <v>11.0957376638142</v>
      </c>
      <c r="B71" t="s">
        <v>28</v>
      </c>
      <c r="C71">
        <v>0.155584</v>
      </c>
      <c r="D71">
        <v>1.7212999999999999E-2</v>
      </c>
    </row>
    <row r="72" spans="1:4">
      <c r="A72">
        <v>11.0957376638142</v>
      </c>
      <c r="B72" t="s">
        <v>29</v>
      </c>
      <c r="C72">
        <v>6.6855999999999999E-2</v>
      </c>
      <c r="D72">
        <v>8.3000000000000001E-3</v>
      </c>
    </row>
    <row r="73" spans="1:4">
      <c r="A73">
        <v>11.0957376638142</v>
      </c>
      <c r="B73" t="s">
        <v>30</v>
      </c>
      <c r="C73">
        <v>0.17174700000000001</v>
      </c>
      <c r="D73">
        <v>7.1151000000000006E-2</v>
      </c>
    </row>
    <row r="74" spans="1:4">
      <c r="A74">
        <v>11.0957376638142</v>
      </c>
      <c r="B74" t="s">
        <v>31</v>
      </c>
      <c r="C74">
        <v>4.3452999999999999E-2</v>
      </c>
      <c r="D74">
        <v>1.3979999999999999E-2</v>
      </c>
    </row>
    <row r="75" spans="1:4">
      <c r="A75">
        <v>11.139438061733999</v>
      </c>
      <c r="B75" t="s">
        <v>28</v>
      </c>
      <c r="C75">
        <v>0.168125</v>
      </c>
      <c r="D75">
        <v>1.4482999999999999E-2</v>
      </c>
    </row>
    <row r="76" spans="1:4">
      <c r="A76">
        <v>11.139438061733999</v>
      </c>
      <c r="B76" t="s">
        <v>29</v>
      </c>
      <c r="C76">
        <v>4.1991000000000001E-2</v>
      </c>
      <c r="D76">
        <v>5.3330000000000001E-3</v>
      </c>
    </row>
    <row r="77" spans="1:4">
      <c r="A77">
        <v>11.139438061733999</v>
      </c>
      <c r="B77" t="s">
        <v>30</v>
      </c>
      <c r="C77">
        <v>0.15321000000000001</v>
      </c>
      <c r="D77">
        <v>1.6938000000000002E-2</v>
      </c>
    </row>
    <row r="78" spans="1:4">
      <c r="A78">
        <v>11.139438061733999</v>
      </c>
      <c r="B78" t="s">
        <v>31</v>
      </c>
      <c r="C78">
        <v>4.4975000000000001E-2</v>
      </c>
      <c r="D78">
        <v>5.2230000000000002E-3</v>
      </c>
    </row>
    <row r="79" spans="1:4">
      <c r="A79">
        <v>11.191736578258899</v>
      </c>
      <c r="B79" t="s">
        <v>28</v>
      </c>
      <c r="C79">
        <v>0.143877</v>
      </c>
      <c r="D79">
        <v>1.8103999999999999E-2</v>
      </c>
    </row>
    <row r="80" spans="1:4">
      <c r="A80">
        <v>11.191736578258899</v>
      </c>
      <c r="B80" t="s">
        <v>29</v>
      </c>
      <c r="C80">
        <v>8.5074999999999998E-2</v>
      </c>
      <c r="D80">
        <v>1.3667E-2</v>
      </c>
    </row>
    <row r="81" spans="1:4">
      <c r="A81">
        <v>11.191736578258899</v>
      </c>
      <c r="B81" t="s">
        <v>30</v>
      </c>
      <c r="C81">
        <v>0.111983</v>
      </c>
      <c r="D81">
        <v>1.0083999999999999E-2</v>
      </c>
    </row>
    <row r="82" spans="1:4">
      <c r="A82">
        <v>11.191736578258899</v>
      </c>
      <c r="B82" t="s">
        <v>31</v>
      </c>
      <c r="C82">
        <v>1.8679999999999999E-2</v>
      </c>
      <c r="D82" t="s">
        <v>34</v>
      </c>
    </row>
    <row r="83" spans="1:4">
      <c r="A83">
        <v>12.0388784868085</v>
      </c>
      <c r="B83" t="s">
        <v>28</v>
      </c>
      <c r="C83">
        <v>0.17408000000000001</v>
      </c>
      <c r="D83">
        <v>4.9856999999999999E-2</v>
      </c>
    </row>
    <row r="84" spans="1:4">
      <c r="A84">
        <v>12.0388784868085</v>
      </c>
      <c r="B84" t="s">
        <v>29</v>
      </c>
      <c r="C84">
        <v>8.7521000000000002E-2</v>
      </c>
      <c r="D84">
        <v>1.7364999999999998E-2</v>
      </c>
    </row>
    <row r="85" spans="1:4">
      <c r="A85">
        <v>12.0388784868085</v>
      </c>
      <c r="B85" t="s">
        <v>30</v>
      </c>
      <c r="C85">
        <v>0.180923</v>
      </c>
      <c r="D85">
        <v>1.7354999999999999E-2</v>
      </c>
    </row>
    <row r="86" spans="1:4">
      <c r="A86">
        <v>12.0388784868085</v>
      </c>
      <c r="B86" t="s">
        <v>31</v>
      </c>
      <c r="C86">
        <v>6.5479999999999997E-2</v>
      </c>
      <c r="D86">
        <v>1.0637000000000001E-2</v>
      </c>
    </row>
    <row r="87" spans="1:4">
      <c r="A87">
        <v>12.844082066747401</v>
      </c>
      <c r="B87" t="s">
        <v>28</v>
      </c>
      <c r="C87">
        <v>0.181534</v>
      </c>
      <c r="D87">
        <v>2.0032000000000001E-2</v>
      </c>
    </row>
    <row r="88" spans="1:4">
      <c r="A88">
        <v>12.844082066747401</v>
      </c>
      <c r="B88" t="s">
        <v>29</v>
      </c>
      <c r="C88">
        <v>5.1291999999999997E-2</v>
      </c>
      <c r="D88">
        <v>6.868E-3</v>
      </c>
    </row>
    <row r="89" spans="1:4">
      <c r="A89">
        <v>12.844082066747401</v>
      </c>
      <c r="B89" t="s">
        <v>30</v>
      </c>
      <c r="C89">
        <v>0.177312</v>
      </c>
      <c r="D89">
        <v>1.5824000000000001E-2</v>
      </c>
    </row>
    <row r="90" spans="1:4">
      <c r="A90">
        <v>12.844082066747401</v>
      </c>
      <c r="B90" t="s">
        <v>31</v>
      </c>
      <c r="C90">
        <v>5.9066E-2</v>
      </c>
      <c r="D90">
        <v>8.1320000000000003E-3</v>
      </c>
    </row>
    <row r="91" spans="1:4">
      <c r="A91">
        <v>13.289870274379901</v>
      </c>
      <c r="B91" t="s">
        <v>28</v>
      </c>
      <c r="C91">
        <v>0.27409099999999997</v>
      </c>
      <c r="D91">
        <v>2.7470000000000001E-2</v>
      </c>
    </row>
    <row r="92" spans="1:4">
      <c r="A92">
        <v>13.289870274379901</v>
      </c>
      <c r="B92" t="s">
        <v>29</v>
      </c>
      <c r="C92">
        <v>9.8820000000000005E-2</v>
      </c>
      <c r="D92">
        <v>1.3540999999999999E-2</v>
      </c>
    </row>
    <row r="93" spans="1:4">
      <c r="A93">
        <v>13.289870274379901</v>
      </c>
      <c r="B93" t="s">
        <v>30</v>
      </c>
      <c r="C93">
        <v>0.21170700000000001</v>
      </c>
      <c r="D93">
        <v>2.6709E-2</v>
      </c>
    </row>
    <row r="94" spans="1:4">
      <c r="A94">
        <v>13.289870274379901</v>
      </c>
      <c r="B94" t="s">
        <v>31</v>
      </c>
      <c r="C94">
        <v>9.5465999999999995E-2</v>
      </c>
      <c r="D94">
        <v>2.0736000000000001E-2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table 2</vt:lpstr>
      <vt:lpstr>table 3</vt:lpstr>
      <vt:lpstr>table 4</vt:lpstr>
      <vt:lpstr>trait-treatment summaries</vt:lpstr>
      <vt:lpstr>trait-vpd-treatment summaries</vt:lpstr>
      <vt:lpstr>population summaries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Wallace, Madeleine - (maddiewallace)</dc:creator>
  <cp:lastModifiedBy>Wallace, Madeleine - (maddiewallace)</cp:lastModifiedBy>
  <cp:lastPrinted>2025-02-08T21:45:22Z</cp:lastPrinted>
  <dcterms:created xsi:type="dcterms:W3CDTF">2024-10-22T21:19:31Z</dcterms:created>
  <dcterms:modified xsi:type="dcterms:W3CDTF">2026-01-07T22:30:29Z</dcterms:modified>
</cp:coreProperties>
</file>